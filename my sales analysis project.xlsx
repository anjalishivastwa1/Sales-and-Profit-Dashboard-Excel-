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1740252ce479e4/Documents/"/>
    </mc:Choice>
  </mc:AlternateContent>
  <xr:revisionPtr revIDLastSave="1219" documentId="8_{DE081CA6-60C9-4C1C-9B21-9888D258C398}" xr6:coauthVersionLast="47" xr6:coauthVersionMax="47" xr10:uidLastSave="{B280B478-30E5-4274-BC99-D9D255B45AEC}"/>
  <bookViews>
    <workbookView xWindow="-108" yWindow="-108" windowWidth="23256" windowHeight="13896" activeTab="5" xr2:uid="{7F84037F-84BC-498B-A823-DD5715ADC85A}"/>
  </bookViews>
  <sheets>
    <sheet name="Sheet4" sheetId="4" r:id="rId1"/>
    <sheet name="Sheet9" sheetId="9" r:id="rId2"/>
    <sheet name="Sheet10" sheetId="15" r:id="rId3"/>
    <sheet name="Sheet1" sheetId="1" r:id="rId4"/>
    <sheet name="Sheet7" sheetId="7" r:id="rId5"/>
    <sheet name="Sheet8" sheetId="8" r:id="rId6"/>
    <sheet name="Sheet2" sheetId="2" r:id="rId7"/>
    <sheet name="Sheet3" sheetId="3" r:id="rId8"/>
  </sheets>
  <definedNames>
    <definedName name="_xlnm._FilterDatabase" localSheetId="3" hidden="1">Sheet1!$A$1:$I$51</definedName>
  </definedNames>
  <calcPr calcId="191029"/>
  <pivotCaches>
    <pivotCache cacheId="53" r:id="rId9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7" i="1" l="1" a="1"/>
  <c r="V37" i="1" s="1"/>
  <c r="V23" i="1" a="1"/>
  <c r="V23" i="1" s="1"/>
  <c r="Z3" i="1" a="1"/>
  <c r="Z3" i="1" s="1"/>
  <c r="G55" i="1"/>
  <c r="G54" i="1"/>
  <c r="I52" i="1"/>
  <c r="H52" i="1"/>
  <c r="G52" i="1"/>
  <c r="G53" i="1"/>
  <c r="O26" i="1"/>
  <c r="R24" i="1"/>
  <c r="I56" i="1" l="1"/>
  <c r="H56" i="1"/>
  <c r="G6" i="1"/>
  <c r="Q16" i="1"/>
  <c r="Q17" i="1"/>
  <c r="Q18" i="1"/>
  <c r="Q19" i="1"/>
  <c r="Q20" i="1"/>
  <c r="Q21" i="1"/>
  <c r="Q15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" i="1"/>
  <c r="C2" i="1"/>
  <c r="G3" i="1"/>
  <c r="G4" i="1"/>
  <c r="G5" i="1"/>
  <c r="L6" i="1" s="1"/>
  <c r="I6" i="1"/>
  <c r="G7" i="1"/>
  <c r="I7" i="1" s="1"/>
  <c r="G8" i="1"/>
  <c r="G9" i="1"/>
  <c r="I9" i="1" s="1"/>
  <c r="G10" i="1"/>
  <c r="I10" i="1" s="1"/>
  <c r="G11" i="1"/>
  <c r="G12" i="1"/>
  <c r="G13" i="1"/>
  <c r="G14" i="1"/>
  <c r="I14" i="1" s="1"/>
  <c r="G15" i="1"/>
  <c r="I15" i="1" s="1"/>
  <c r="G16" i="1"/>
  <c r="G17" i="1"/>
  <c r="I17" i="1" s="1"/>
  <c r="G18" i="1"/>
  <c r="I18" i="1" s="1"/>
  <c r="G19" i="1"/>
  <c r="G20" i="1"/>
  <c r="G21" i="1"/>
  <c r="G22" i="1"/>
  <c r="G23" i="1"/>
  <c r="G24" i="1"/>
  <c r="G25" i="1"/>
  <c r="I25" i="1" s="1"/>
  <c r="G26" i="1"/>
  <c r="G27" i="1"/>
  <c r="G28" i="1"/>
  <c r="G29" i="1"/>
  <c r="I29" i="1" s="1"/>
  <c r="G30" i="1"/>
  <c r="I30" i="1" s="1"/>
  <c r="G31" i="1"/>
  <c r="I31" i="1" s="1"/>
  <c r="G32" i="1"/>
  <c r="G33" i="1"/>
  <c r="I33" i="1" s="1"/>
  <c r="G34" i="1"/>
  <c r="I34" i="1" s="1"/>
  <c r="G35" i="1"/>
  <c r="G36" i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G44" i="1"/>
  <c r="G45" i="1"/>
  <c r="G46" i="1"/>
  <c r="I46" i="1" s="1"/>
  <c r="G47" i="1"/>
  <c r="H47" i="1" s="1"/>
  <c r="I47" i="1" s="1"/>
  <c r="G48" i="1"/>
  <c r="H48" i="1" s="1"/>
  <c r="I48" i="1" s="1"/>
  <c r="G49" i="1"/>
  <c r="H49" i="1" s="1"/>
  <c r="I49" i="1" s="1"/>
  <c r="G50" i="1"/>
  <c r="H50" i="1" s="1"/>
  <c r="I50" i="1" s="1"/>
  <c r="G51" i="1"/>
  <c r="K2" i="7"/>
  <c r="G26" i="7"/>
  <c r="G27" i="7"/>
  <c r="G28" i="7"/>
  <c r="G29" i="7"/>
  <c r="G30" i="7"/>
  <c r="G24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25" i="7"/>
  <c r="A24" i="7"/>
  <c r="B24" i="7"/>
  <c r="C24" i="7"/>
  <c r="D24" i="7"/>
  <c r="E24" i="7"/>
  <c r="A25" i="7"/>
  <c r="B25" i="7"/>
  <c r="C25" i="7"/>
  <c r="D25" i="7"/>
  <c r="B26" i="7"/>
  <c r="C26" i="7"/>
  <c r="D26" i="7"/>
  <c r="E26" i="7"/>
  <c r="B27" i="7"/>
  <c r="C27" i="7"/>
  <c r="D27" i="7"/>
  <c r="E27" i="7"/>
  <c r="B28" i="7"/>
  <c r="C28" i="7"/>
  <c r="D28" i="7"/>
  <c r="B29" i="7"/>
  <c r="C29" i="7"/>
  <c r="D29" i="7"/>
  <c r="B30" i="7"/>
  <c r="C30" i="7"/>
  <c r="D30" i="7"/>
  <c r="B31" i="7"/>
  <c r="C31" i="7"/>
  <c r="D31" i="7"/>
  <c r="B32" i="7"/>
  <c r="C32" i="7"/>
  <c r="D32" i="7"/>
  <c r="B33" i="7"/>
  <c r="C33" i="7"/>
  <c r="D33" i="7"/>
  <c r="B34" i="7"/>
  <c r="C34" i="7"/>
  <c r="D34" i="7"/>
  <c r="B35" i="7"/>
  <c r="C35" i="7"/>
  <c r="D35" i="7"/>
  <c r="B36" i="7"/>
  <c r="C36" i="7"/>
  <c r="D36" i="7"/>
  <c r="B37" i="7"/>
  <c r="C37" i="7"/>
  <c r="D37" i="7"/>
  <c r="B38" i="7"/>
  <c r="C38" i="7"/>
  <c r="D38" i="7"/>
  <c r="B39" i="7"/>
  <c r="C39" i="7"/>
  <c r="D39" i="7"/>
  <c r="B40" i="7"/>
  <c r="C40" i="7"/>
  <c r="D40" i="7"/>
  <c r="B41" i="7"/>
  <c r="C41" i="7"/>
  <c r="D41" i="7"/>
  <c r="B42" i="7"/>
  <c r="C42" i="7"/>
  <c r="D42" i="7"/>
  <c r="B43" i="7"/>
  <c r="C43" i="7"/>
  <c r="D43" i="7"/>
  <c r="B44" i="7"/>
  <c r="C44" i="7"/>
  <c r="D44" i="7"/>
  <c r="B45" i="7"/>
  <c r="C45" i="7"/>
  <c r="D45" i="7"/>
  <c r="B46" i="7"/>
  <c r="C46" i="7"/>
  <c r="D46" i="7"/>
  <c r="B47" i="7"/>
  <c r="C47" i="7"/>
  <c r="D47" i="7"/>
  <c r="B48" i="7"/>
  <c r="C48" i="7"/>
  <c r="D48" i="7"/>
  <c r="B49" i="7"/>
  <c r="C49" i="7"/>
  <c r="D49" i="7"/>
  <c r="B50" i="7"/>
  <c r="C50" i="7"/>
  <c r="D50" i="7"/>
  <c r="B51" i="7"/>
  <c r="C51" i="7"/>
  <c r="D51" i="7"/>
  <c r="B52" i="7"/>
  <c r="C52" i="7"/>
  <c r="D52" i="7"/>
  <c r="B53" i="7"/>
  <c r="C53" i="7"/>
  <c r="D53" i="7"/>
  <c r="B54" i="7"/>
  <c r="C54" i="7"/>
  <c r="D54" i="7"/>
  <c r="B55" i="7"/>
  <c r="C55" i="7"/>
  <c r="D55" i="7"/>
  <c r="A56" i="7"/>
  <c r="B56" i="7"/>
  <c r="C56" i="7"/>
  <c r="D56" i="7"/>
  <c r="B57" i="7"/>
  <c r="C57" i="7"/>
  <c r="D57" i="7"/>
  <c r="B58" i="7"/>
  <c r="C58" i="7"/>
  <c r="D58" i="7"/>
  <c r="B59" i="7"/>
  <c r="C59" i="7"/>
  <c r="D59" i="7"/>
  <c r="B60" i="7"/>
  <c r="C60" i="7"/>
  <c r="D60" i="7"/>
  <c r="B61" i="7"/>
  <c r="C61" i="7"/>
  <c r="D61" i="7"/>
  <c r="B62" i="7"/>
  <c r="C62" i="7"/>
  <c r="D62" i="7"/>
  <c r="B63" i="7"/>
  <c r="C63" i="7"/>
  <c r="D63" i="7"/>
  <c r="B64" i="7"/>
  <c r="C64" i="7"/>
  <c r="D64" i="7"/>
  <c r="B65" i="7"/>
  <c r="C65" i="7"/>
  <c r="D65" i="7"/>
  <c r="B66" i="7"/>
  <c r="C66" i="7"/>
  <c r="D66" i="7"/>
  <c r="B67" i="7"/>
  <c r="C67" i="7"/>
  <c r="D67" i="7"/>
  <c r="B68" i="7"/>
  <c r="C68" i="7"/>
  <c r="D68" i="7"/>
  <c r="B69" i="7"/>
  <c r="C69" i="7"/>
  <c r="D69" i="7"/>
  <c r="B70" i="7"/>
  <c r="C70" i="7"/>
  <c r="D70" i="7"/>
  <c r="B71" i="7"/>
  <c r="C71" i="7"/>
  <c r="D71" i="7"/>
  <c r="B72" i="7"/>
  <c r="C72" i="7"/>
  <c r="D72" i="7"/>
  <c r="B73" i="7"/>
  <c r="C73" i="7"/>
  <c r="D73" i="7"/>
  <c r="B74" i="7"/>
  <c r="C74" i="7"/>
  <c r="D74" i="7"/>
  <c r="K24" i="7"/>
  <c r="L25" i="7"/>
  <c r="M25" i="7"/>
  <c r="K26" i="7"/>
  <c r="K27" i="7"/>
  <c r="K28" i="7"/>
  <c r="K29" i="7"/>
  <c r="K30" i="7"/>
  <c r="K7" i="7"/>
  <c r="L3" i="7"/>
  <c r="M3" i="7"/>
  <c r="N3" i="7"/>
  <c r="K4" i="7"/>
  <c r="K5" i="7"/>
  <c r="K6" i="7"/>
  <c r="D5" i="7"/>
  <c r="D6" i="7"/>
  <c r="D7" i="7"/>
  <c r="D4" i="7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" i="3"/>
  <c r="H2" i="3"/>
  <c r="F2" i="3"/>
  <c r="E3" i="3"/>
  <c r="E4" i="3"/>
  <c r="E5" i="3"/>
  <c r="E6" i="3"/>
  <c r="E7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2" i="3"/>
  <c r="C44" i="3"/>
  <c r="C45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" i="3"/>
  <c r="I3" i="1"/>
  <c r="I4" i="1"/>
  <c r="I8" i="1"/>
  <c r="I11" i="1"/>
  <c r="I12" i="1"/>
  <c r="I13" i="1"/>
  <c r="I16" i="1"/>
  <c r="I19" i="1"/>
  <c r="I20" i="1"/>
  <c r="I21" i="1"/>
  <c r="I22" i="1"/>
  <c r="I23" i="1"/>
  <c r="I24" i="1"/>
  <c r="I27" i="1"/>
  <c r="I28" i="1"/>
  <c r="I32" i="1"/>
  <c r="I35" i="1"/>
  <c r="I36" i="1"/>
  <c r="I43" i="1"/>
  <c r="I44" i="1"/>
  <c r="I45" i="1"/>
  <c r="H51" i="1"/>
  <c r="I51" i="1" s="1"/>
  <c r="H3" i="1"/>
  <c r="X4" i="1"/>
  <c r="N5" i="7" s="1"/>
  <c r="L4" i="1"/>
  <c r="G2" i="1"/>
  <c r="H2" i="1" s="1"/>
  <c r="R21" i="1"/>
  <c r="B188" i="2"/>
  <c r="B202" i="2"/>
  <c r="W4" i="1" l="1"/>
  <c r="M5" i="7" s="1"/>
  <c r="X3" i="1"/>
  <c r="N4" i="7" s="1"/>
  <c r="V4" i="1"/>
  <c r="L5" i="7" s="1"/>
  <c r="I5" i="1"/>
  <c r="W5" i="1"/>
  <c r="M6" i="7" s="1"/>
  <c r="L21" i="1"/>
  <c r="L36" i="1"/>
  <c r="L20" i="1"/>
  <c r="L17" i="1"/>
  <c r="L16" i="1"/>
  <c r="L22" i="1"/>
  <c r="L32" i="1"/>
  <c r="L15" i="1"/>
  <c r="L12" i="1"/>
  <c r="L14" i="1"/>
  <c r="I26" i="1"/>
  <c r="T13" i="1" s="1"/>
  <c r="H53" i="1"/>
  <c r="Q5" i="1"/>
  <c r="L13" i="1"/>
  <c r="V5" i="1"/>
  <c r="L6" i="7" s="1"/>
  <c r="X6" i="1"/>
  <c r="N7" i="7" s="1"/>
  <c r="W6" i="1"/>
  <c r="M7" i="7" s="1"/>
  <c r="L19" i="1"/>
  <c r="Q4" i="1"/>
  <c r="L18" i="1"/>
  <c r="V6" i="1"/>
  <c r="L7" i="7" s="1"/>
  <c r="W3" i="1"/>
  <c r="M4" i="7" s="1"/>
  <c r="L5" i="1"/>
  <c r="X5" i="1"/>
  <c r="N6" i="7" s="1"/>
  <c r="V3" i="1"/>
  <c r="L4" i="7" s="1"/>
  <c r="L11" i="1"/>
  <c r="L3" i="1"/>
  <c r="Q3" i="1"/>
  <c r="I2" i="1"/>
  <c r="L37" i="1"/>
  <c r="M4" i="1"/>
  <c r="N4" i="1" s="1"/>
  <c r="L31" i="1"/>
  <c r="L30" i="1"/>
  <c r="M6" i="1"/>
  <c r="N6" i="1" s="1"/>
  <c r="L29" i="1"/>
  <c r="M5" i="1"/>
  <c r="L28" i="1"/>
  <c r="L35" i="1"/>
  <c r="M3" i="1"/>
  <c r="R5" i="1"/>
  <c r="R4" i="1"/>
  <c r="L27" i="1"/>
  <c r="L34" i="1"/>
  <c r="R3" i="1"/>
  <c r="L33" i="1"/>
  <c r="L41" i="1"/>
  <c r="O15" i="1" l="1"/>
  <c r="N3" i="1"/>
  <c r="N5" i="1"/>
  <c r="S3" i="1"/>
  <c r="S5" i="1"/>
  <c r="K8" i="1"/>
  <c r="S4" i="1"/>
  <c r="O14" i="1"/>
  <c r="O12" i="1"/>
  <c r="O11" i="1"/>
  <c r="O13" i="1"/>
  <c r="L26" i="1"/>
  <c r="O30" i="1"/>
  <c r="H30" i="7" s="1"/>
  <c r="O27" i="1"/>
  <c r="H27" i="7" s="1"/>
  <c r="O28" i="1"/>
  <c r="H28" i="7" s="1"/>
  <c r="O29" i="1"/>
  <c r="H29" i="7" s="1"/>
  <c r="P11" i="1" l="1"/>
  <c r="M26" i="7" s="1"/>
  <c r="L26" i="7"/>
  <c r="P14" i="1"/>
  <c r="M29" i="7" s="1"/>
  <c r="L29" i="7"/>
  <c r="P26" i="1"/>
  <c r="I26" i="7" s="1"/>
  <c r="H26" i="7"/>
  <c r="P13" i="1"/>
  <c r="M28" i="7" s="1"/>
  <c r="L28" i="7"/>
  <c r="P12" i="1"/>
  <c r="M27" i="7" s="1"/>
  <c r="L27" i="7"/>
  <c r="P15" i="1"/>
  <c r="M30" i="7" s="1"/>
  <c r="L30" i="7"/>
  <c r="P28" i="1"/>
  <c r="I28" i="7" s="1"/>
  <c r="P27" i="1"/>
  <c r="I27" i="7" s="1"/>
  <c r="P30" i="1"/>
  <c r="I30" i="7" s="1"/>
  <c r="P29" i="1"/>
  <c r="I29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<sst xmlns="http://schemas.openxmlformats.org/spreadsheetml/2006/main" count="579" uniqueCount="194">
  <si>
    <t>Date</t>
  </si>
  <si>
    <t>Region</t>
  </si>
  <si>
    <t>Product</t>
  </si>
  <si>
    <t>Category</t>
  </si>
  <si>
    <t>Quantity</t>
  </si>
  <si>
    <t>Unit Price</t>
  </si>
  <si>
    <t>Sales</t>
  </si>
  <si>
    <t>Profit</t>
  </si>
  <si>
    <t>North</t>
  </si>
  <si>
    <t>Laptop</t>
  </si>
  <si>
    <t>Electronics</t>
  </si>
  <si>
    <t>South</t>
  </si>
  <si>
    <t>Mobile</t>
  </si>
  <si>
    <t>East</t>
  </si>
  <si>
    <t>Shoes</t>
  </si>
  <si>
    <t>Fashion</t>
  </si>
  <si>
    <t>West</t>
  </si>
  <si>
    <t>Sofa</t>
  </si>
  <si>
    <t>Furniture</t>
  </si>
  <si>
    <t>Tablet</t>
  </si>
  <si>
    <t>Shirt</t>
  </si>
  <si>
    <t>Chair</t>
  </si>
  <si>
    <t>Headphones</t>
  </si>
  <si>
    <t>Jacket</t>
  </si>
  <si>
    <t>Bed</t>
  </si>
  <si>
    <t>Watch</t>
  </si>
  <si>
    <t>TV</t>
  </si>
  <si>
    <t>Profit%</t>
  </si>
  <si>
    <t>Region-wise Sales →</t>
  </si>
  <si>
    <t>sales</t>
  </si>
  <si>
    <r>
      <t xml:space="preserve">Region-wise Sales → </t>
    </r>
    <r>
      <rPr>
        <sz val="10"/>
        <color theme="1"/>
        <rFont val="Arial Unicode MS"/>
      </rPr>
      <t>SUMIFS</t>
    </r>
  </si>
  <si>
    <r>
      <t xml:space="preserve">Category-wise Profit → </t>
    </r>
    <r>
      <rPr>
        <sz val="10"/>
        <color theme="1"/>
        <rFont val="Arial Unicode MS"/>
      </rPr>
      <t>SUMIFS</t>
    </r>
  </si>
  <si>
    <r>
      <t xml:space="preserve">Top 5 Products → </t>
    </r>
    <r>
      <rPr>
        <sz val="10"/>
        <color theme="1"/>
        <rFont val="Arial Unicode MS"/>
      </rPr>
      <t>LARGE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</rPr>
      <t>INDEX-MATCH</t>
    </r>
  </si>
  <si>
    <t>Monthly Trend → Pivot Table (Group by Month)</t>
  </si>
  <si>
    <t>Conditional Formatting → Profit % &lt; 10% highlight</t>
  </si>
  <si>
    <t>3. Dashboard Design</t>
  </si>
  <si>
    <r>
      <t>KPIs (Cards)</t>
    </r>
    <r>
      <rPr>
        <sz val="11"/>
        <color theme="1"/>
        <rFont val="Aptos Narrow"/>
        <family val="2"/>
        <scheme val="minor"/>
      </rPr>
      <t>:</t>
    </r>
  </si>
  <si>
    <t>Total Sales</t>
  </si>
  <si>
    <t>Total Profit</t>
  </si>
  <si>
    <t>Average Profit %</t>
  </si>
  <si>
    <r>
      <t>Charts</t>
    </r>
    <r>
      <rPr>
        <sz val="11"/>
        <color theme="1"/>
        <rFont val="Aptos Narrow"/>
        <family val="2"/>
        <scheme val="minor"/>
      </rPr>
      <t>:</t>
    </r>
  </si>
  <si>
    <t>Region-wise Sales (Bar Chart)</t>
  </si>
  <si>
    <t>Category-wise Profit (Pie Chart)</t>
  </si>
  <si>
    <t>Monthly Trend (Line Chart)</t>
  </si>
  <si>
    <r>
      <t>Slicers</t>
    </r>
    <r>
      <rPr>
        <sz val="11"/>
        <color theme="1"/>
        <rFont val="Aptos Narrow"/>
        <family val="2"/>
        <scheme val="minor"/>
      </rPr>
      <t>:</t>
    </r>
  </si>
  <si>
    <t>🔹 Recruiter Impression</t>
  </si>
  <si>
    <t>Dataset → दिखाता है कि आप data organize कर सकती हैं।</t>
  </si>
  <si>
    <t>Formulas → आपकी Excel logic skills clear होंगी।</t>
  </si>
  <si>
    <t>Pivot + Dashboard → आपकी visualization और storytelling skills दिखेंगी।</t>
  </si>
  <si>
    <r>
      <t xml:space="preserve">Insights → </t>
    </r>
    <r>
      <rPr>
        <i/>
        <sz val="11"/>
        <color theme="1"/>
        <rFont val="Aptos Narrow"/>
        <family val="2"/>
        <scheme val="minor"/>
      </rPr>
      <t>“North region contributes 40% of sales but profit margin lowest है”</t>
    </r>
    <r>
      <rPr>
        <sz val="11"/>
        <color theme="1"/>
        <rFont val="Aptos Narrow"/>
        <family val="2"/>
        <scheme val="minor"/>
      </rPr>
      <t xml:space="preserve"> जैसी बातें recruiter को impress करती हैं।</t>
    </r>
  </si>
  <si>
    <t>👉 इस dataset + dashboard से आपका project पूरा हो जाएगा और आप इसे interview में showcase कर सकती हैं।</t>
  </si>
  <si>
    <t>Same sheet पर:</t>
  </si>
  <si>
    <t>अगर आपका dataset छोटा है और आप सिर्फ एक ही जगह पर सब कुछ देखना चाहते हैं, तो pivot table या filter का इस्तेमाल करके region-wise breakdown उसी sheet पर बना सकते हैं।</t>
  </si>
  <si>
    <t>फायदा यह है कि सब कुछ centralized रहेगा और आपको बार-बार sheet बदलनी नहीं पड़ेगी।</t>
  </si>
  <si>
    <t>Alag sheet पर:</t>
  </si>
  <si>
    <t>अगर dataset बड़ा है या हर region के लिए अलग-अलग detailed report चाहिए, तो हर region का summary अलग sheet पर बनाना बेहतर रहेगा।</t>
  </si>
  <si>
    <t>इससे clarity बढ़ेगी और हर sheet को अलग-अलग share या analyze करना आसान होगा।</t>
  </si>
  <si>
    <t>👉 Practical तरीका:</t>
  </si>
  <si>
    <r>
      <t xml:space="preserve">Excel में </t>
    </r>
    <r>
      <rPr>
        <b/>
        <sz val="11"/>
        <color theme="1"/>
        <rFont val="Aptos Narrow"/>
        <family val="2"/>
        <scheme val="minor"/>
      </rPr>
      <t>Pivot Table</t>
    </r>
    <r>
      <rPr>
        <sz val="11"/>
        <color theme="1"/>
        <rFont val="Aptos Narrow"/>
        <family val="2"/>
        <scheme val="minor"/>
      </rPr>
      <t xml:space="preserve"> बनाइए और “Region” को row field में डालिए।</t>
    </r>
  </si>
  <si>
    <t>फिर आप चाहें तो उसी pivot को copy करके अलग-अलग sheets में paste कर सकते हैं (हर region के लिए अलग)।</t>
  </si>
  <si>
    <t>या एक ही sheet पर slicer/filter लगाकर region-wise view बदल सकते हैं।</t>
  </si>
  <si>
    <r>
      <t xml:space="preserve">आपको ज्यादा आसान लगेगा अगर मैं आपको step-by-step बताऊँ कि </t>
    </r>
    <r>
      <rPr>
        <b/>
        <sz val="11"/>
        <color theme="1"/>
        <rFont val="Aptos Narrow"/>
        <family val="2"/>
        <scheme val="minor"/>
      </rPr>
      <t>pivot table से region-wise summary</t>
    </r>
    <r>
      <rPr>
        <sz val="11"/>
        <color theme="1"/>
        <rFont val="Aptos Narrow"/>
        <family val="2"/>
        <scheme val="minor"/>
      </rPr>
      <t xml:space="preserve"> कैसे बनती है। क्या आप चाहते हैं कि मैं आपको उसी sheet पर बनाने का तरीका समझाऊँ या अलग sheet पर organize करने का?</t>
    </r>
  </si>
  <si>
    <t>mai formula se bnna chahtiu tumne hi to bola ki sumoifs ka use</t>
  </si>
  <si>
    <r>
      <t xml:space="preserve">ठीक है, अगर आप </t>
    </r>
    <r>
      <rPr>
        <b/>
        <sz val="11"/>
        <color theme="1"/>
        <rFont val="Aptos Narrow"/>
        <family val="2"/>
        <scheme val="minor"/>
      </rPr>
      <t>formula से region-wise summary</t>
    </r>
    <r>
      <rPr>
        <sz val="11"/>
        <color theme="1"/>
        <rFont val="Aptos Narrow"/>
        <family val="2"/>
        <scheme val="minor"/>
      </rPr>
      <t xml:space="preserve"> बनाना चाहती हैं तो </t>
    </r>
    <r>
      <rPr>
        <sz val="10"/>
        <color theme="1"/>
        <rFont val="Arial Unicode MS"/>
      </rPr>
      <t>SUMIFS</t>
    </r>
    <r>
      <rPr>
        <sz val="11"/>
        <color theme="1"/>
        <rFont val="Aptos Narrow"/>
        <family val="2"/>
        <scheme val="minor"/>
      </rPr>
      <t xml:space="preserve"> बिल्कुल सही तरीका है।</t>
    </r>
  </si>
  <si>
    <t>मान लीजिए आपके dataset में ये columns हैं:</t>
  </si>
  <si>
    <r>
      <t>Region</t>
    </r>
    <r>
      <rPr>
        <sz val="11"/>
        <color theme="1"/>
        <rFont val="Aptos Narrow"/>
        <family val="2"/>
        <scheme val="minor"/>
      </rPr>
      <t xml:space="preserve"> (A column)</t>
    </r>
  </si>
  <si>
    <r>
      <t>Sales/Unit Price/Quantity</t>
    </r>
    <r>
      <rPr>
        <sz val="11"/>
        <color theme="1"/>
        <rFont val="Aptos Narrow"/>
        <family val="2"/>
        <scheme val="minor"/>
      </rPr>
      <t xml:space="preserve"> (B, C, D columns)</t>
    </r>
  </si>
  <si>
    <t>तो आप किसी अलग summary table बना सकती हैं, जहाँ हर region का नाम लिखा होगा और उसके सामने formula होगा।</t>
  </si>
  <si>
    <t>Example:</t>
  </si>
  <si>
    <r>
      <t xml:space="preserve">अगर आप </t>
    </r>
    <r>
      <rPr>
        <b/>
        <sz val="11"/>
        <color theme="1"/>
        <rFont val="Aptos Narrow"/>
        <family val="2"/>
        <scheme val="minor"/>
      </rPr>
      <t>Total Sales</t>
    </r>
    <r>
      <rPr>
        <sz val="11"/>
        <color theme="1"/>
        <rFont val="Aptos Narrow"/>
        <family val="2"/>
        <scheme val="minor"/>
      </rPr>
      <t xml:space="preserve"> निकालना चाहती हैं region-wise:</t>
    </r>
  </si>
  <si>
    <t>excel</t>
  </si>
  <si>
    <t>यहाँ:</t>
  </si>
  <si>
    <r>
      <t>$D:$D</t>
    </r>
    <r>
      <rPr>
        <sz val="11"/>
        <color theme="1"/>
        <rFont val="Aptos Narrow"/>
        <family val="2"/>
        <scheme val="minor"/>
      </rPr>
      <t xml:space="preserve"> → वो column है जिसमें Sales values हैं</t>
    </r>
  </si>
  <si>
    <r>
      <t>$A:$A</t>
    </r>
    <r>
      <rPr>
        <sz val="11"/>
        <color theme="1"/>
        <rFont val="Aptos Narrow"/>
        <family val="2"/>
        <scheme val="minor"/>
      </rPr>
      <t xml:space="preserve"> → वो column है जिसमें Region लिखा है</t>
    </r>
  </si>
  <si>
    <r>
      <t>"North"</t>
    </r>
    <r>
      <rPr>
        <sz val="11"/>
        <color theme="1"/>
        <rFont val="Aptos Narrow"/>
        <family val="2"/>
        <scheme val="minor"/>
      </rPr>
      <t xml:space="preserve"> → वो region है जिसका total चाहिए</t>
    </r>
  </si>
  <si>
    <t>अगर आप summary table में region का नाम cell में लिखें (जैसे F2 में "North"), तो formula ऐसे होगा:</t>
  </si>
  <si>
    <t>👉 इस तरह आप एक ही sheet पर summary बना सकती हैं। अगर चाहें तो हर region का अलग sheet भी बना सकती हैं, लेकिन formula दोनों cases में यही रहेगा।</t>
  </si>
  <si>
    <r>
      <t xml:space="preserve">क्या आप चाहती हैं कि मैं आपके लिए एक </t>
    </r>
    <r>
      <rPr>
        <b/>
        <sz val="11"/>
        <color theme="1"/>
        <rFont val="Aptos Narrow"/>
        <family val="2"/>
        <scheme val="minor"/>
      </rPr>
      <t>ready-made summary table का structure</t>
    </r>
    <r>
      <rPr>
        <sz val="11"/>
        <color theme="1"/>
        <rFont val="Aptos Narrow"/>
        <family val="2"/>
        <scheme val="minor"/>
      </rPr>
      <t xml:space="preserve"> बना दूँ, जिसमें बस आपको अपने column names adjust करने हों?</t>
    </r>
  </si>
  <si>
    <t>category wise Sales</t>
  </si>
  <si>
    <t>Region wise category sales</t>
  </si>
  <si>
    <t xml:space="preserve">category </t>
  </si>
  <si>
    <t>Top 5 Products by Sales</t>
  </si>
  <si>
    <t>Top 5 Products by profit</t>
  </si>
  <si>
    <t>profit</t>
  </si>
  <si>
    <t xml:space="preserve">Products of Lowest Profit Margin  </t>
  </si>
  <si>
    <t xml:space="preserve">small profit </t>
  </si>
  <si>
    <t>Month-wise Sales Trend (Pivot Table → Group by Month)</t>
  </si>
  <si>
    <t>Sum of Sales</t>
  </si>
  <si>
    <t>Grand Total</t>
  </si>
  <si>
    <t>Jan</t>
  </si>
  <si>
    <t>Feb</t>
  </si>
  <si>
    <t>Sum of Sales2</t>
  </si>
  <si>
    <t xml:space="preserve">Month </t>
  </si>
  <si>
    <t>Sum of Profit%</t>
  </si>
  <si>
    <t>Sum of Profit%2</t>
  </si>
  <si>
    <t>profit%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</si>
  <si>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</si>
  <si>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</si>
  <si>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</si>
  <si>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</si>
  <si>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</si>
  <si>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</si>
  <si>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</si>
  <si>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</si>
  <si>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</si>
  <si>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</si>
  <si>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</si>
  <si>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</si>
  <si>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</si>
  <si>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</si>
  <si>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</si>
  <si>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</si>
  <si>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</si>
  <si>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</si>
  <si>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</si>
  <si>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</si>
  <si>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</si>
  <si>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</si>
  <si>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</si>
  <si>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</si>
  <si>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</si>
  <si>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</si>
  <si>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</si>
  <si>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</si>
  <si>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</si>
  <si>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</si>
  <si>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</si>
  <si>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</si>
  <si>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</si>
  <si>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</si>
  <si>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</si>
  <si>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</si>
  <si>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</si>
  <si>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</si>
  <si>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</si>
  <si>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</si>
  <si>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</si>
  <si>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</si>
  <si>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</si>
  <si>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</si>
  <si>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</si>
  <si>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</si>
  <si>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</si>
  <si>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</si>
  <si>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</si>
  <si>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</si>
  <si>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Camera</t>
  </si>
  <si>
    <t>Dress</t>
  </si>
  <si>
    <t>Table</t>
  </si>
  <si>
    <t>Monitor</t>
  </si>
  <si>
    <t>Jeans</t>
  </si>
  <si>
    <t>Cupboard</t>
  </si>
  <si>
    <t>Speaker</t>
  </si>
  <si>
    <t>Skirt</t>
  </si>
  <si>
    <t>Stool</t>
  </si>
  <si>
    <t>Keyboard</t>
  </si>
  <si>
    <t>Wardrobe</t>
  </si>
  <si>
    <t>Printer</t>
  </si>
  <si>
    <t>T-Shirt</t>
  </si>
  <si>
    <t>Desk</t>
  </si>
  <si>
    <t>Belt</t>
  </si>
  <si>
    <t>Recliner</t>
  </si>
  <si>
    <t>Mouse</t>
  </si>
  <si>
    <t>Cap</t>
  </si>
  <si>
    <t>Shelf</t>
  </si>
  <si>
    <t>Router</t>
  </si>
  <si>
    <t>Kurta</t>
  </si>
  <si>
    <t>Dining Set</t>
  </si>
  <si>
    <t>Console</t>
  </si>
  <si>
    <t>Saree</t>
  </si>
  <si>
    <t>Lamp</t>
  </si>
  <si>
    <t>Drone</t>
  </si>
  <si>
    <t>Blazer</t>
  </si>
  <si>
    <t>Mattress</t>
  </si>
  <si>
    <t>Earbuds</t>
  </si>
  <si>
    <t>Kurti</t>
  </si>
  <si>
    <t>Cabinet</t>
  </si>
  <si>
    <t>Camera Lens</t>
  </si>
  <si>
    <t>Tie</t>
  </si>
  <si>
    <t>price</t>
  </si>
  <si>
    <t xml:space="preserve">Region </t>
  </si>
  <si>
    <t xml:space="preserve">Region-wise Sales </t>
  </si>
  <si>
    <t>Sum of Profit</t>
  </si>
  <si>
    <t>Months (Date)</t>
  </si>
  <si>
    <t>Days (Date)</t>
  </si>
  <si>
    <t xml:space="preserve">Category </t>
  </si>
  <si>
    <t>Category Wise Sales</t>
  </si>
  <si>
    <t>Month</t>
  </si>
  <si>
    <t>Jan Total</t>
  </si>
  <si>
    <t>Feb Total</t>
  </si>
  <si>
    <t>Rank</t>
  </si>
  <si>
    <t>Month wise Total Sales and Total Profit</t>
  </si>
  <si>
    <t>Salaes of north region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</si>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</sst>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&quot;₹&quot;\ #,##0.00"/>
    <numFmt numFmtId="166" formatCode="_ [$₹-4009]\ * #,##0_ ;_ [$₹-4009]\ * \-#,##0_ ;_ [$₹-4009]\ * &quot;-&quot;??_ ;_ @_ "/>
    <numFmt numFmtId="167" formatCode="0.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99FF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9" fontId="0" fillId="0" borderId="0" xfId="1" applyFont="1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3" fontId="0" fillId="0" borderId="0" xfId="0" applyNumberFormat="1" applyAlignment="1">
      <alignment horizontal="center"/>
    </xf>
    <xf numFmtId="0" fontId="0" fillId="0" borderId="1" xfId="0" applyBorder="1"/>
    <xf numFmtId="0" fontId="0" fillId="0" borderId="6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10" fontId="0" fillId="0" borderId="7" xfId="0" applyNumberFormat="1" applyBorder="1"/>
    <xf numFmtId="0" fontId="0" fillId="3" borderId="1" xfId="0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5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0" fontId="0" fillId="0" borderId="2" xfId="0" pivotButton="1" applyBorder="1"/>
    <xf numFmtId="3" fontId="0" fillId="0" borderId="2" xfId="0" applyNumberFormat="1" applyBorder="1"/>
    <xf numFmtId="164" fontId="0" fillId="0" borderId="2" xfId="0" applyNumberFormat="1" applyBorder="1"/>
    <xf numFmtId="0" fontId="0" fillId="4" borderId="0" xfId="0" applyFill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Fill="1"/>
    <xf numFmtId="0" fontId="10" fillId="0" borderId="0" xfId="0" applyFont="1" applyFill="1" applyAlignment="1">
      <alignment vertical="center"/>
    </xf>
    <xf numFmtId="0" fontId="2" fillId="0" borderId="0" xfId="0" applyFont="1" applyFill="1"/>
    <xf numFmtId="0" fontId="0" fillId="0" borderId="6" xfId="0" applyFill="1" applyBorder="1" applyAlignment="1">
      <alignment horizontal="center"/>
    </xf>
    <xf numFmtId="166" fontId="0" fillId="0" borderId="1" xfId="0" applyNumberFormat="1" applyFill="1" applyBorder="1" applyAlignment="1">
      <alignment horizontal="center"/>
    </xf>
    <xf numFmtId="166" fontId="0" fillId="0" borderId="7" xfId="0" applyNumberFormat="1" applyFill="1" applyBorder="1" applyAlignment="1">
      <alignment horizontal="center"/>
    </xf>
    <xf numFmtId="167" fontId="0" fillId="0" borderId="7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8" xfId="0" applyFill="1" applyBorder="1" applyAlignment="1">
      <alignment horizontal="center"/>
    </xf>
    <xf numFmtId="166" fontId="0" fillId="0" borderId="9" xfId="0" applyNumberFormat="1" applyFill="1" applyBorder="1" applyAlignment="1">
      <alignment horizontal="center"/>
    </xf>
    <xf numFmtId="166" fontId="0" fillId="0" borderId="10" xfId="0" applyNumberFormat="1" applyFill="1" applyBorder="1" applyAlignment="1">
      <alignment horizontal="center"/>
    </xf>
    <xf numFmtId="0" fontId="2" fillId="0" borderId="2" xfId="0" applyFont="1" applyFill="1" applyBorder="1"/>
    <xf numFmtId="0" fontId="0" fillId="0" borderId="2" xfId="0" applyFill="1" applyBorder="1"/>
    <xf numFmtId="3" fontId="0" fillId="0" borderId="2" xfId="0" applyNumberFormat="1" applyFill="1" applyBorder="1"/>
    <xf numFmtId="164" fontId="0" fillId="0" borderId="2" xfId="0" applyNumberFormat="1" applyFill="1" applyBorder="1"/>
    <xf numFmtId="0" fontId="0" fillId="0" borderId="12" xfId="0" applyFill="1" applyBorder="1" applyAlignment="1">
      <alignment horizontal="center"/>
    </xf>
    <xf numFmtId="0" fontId="0" fillId="5" borderId="16" xfId="0" applyFont="1" applyFill="1" applyBorder="1"/>
    <xf numFmtId="0" fontId="0" fillId="0" borderId="16" xfId="0" applyFont="1" applyBorder="1"/>
    <xf numFmtId="14" fontId="0" fillId="5" borderId="15" xfId="0" applyNumberFormat="1" applyFont="1" applyFill="1" applyBorder="1"/>
    <xf numFmtId="14" fontId="0" fillId="0" borderId="15" xfId="0" applyNumberFormat="1" applyFont="1" applyBorder="1"/>
    <xf numFmtId="0" fontId="0" fillId="0" borderId="0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0" fillId="7" borderId="17" xfId="0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glow rad="139700">
                    <a:schemeClr val="accent5">
                      <a:satMod val="175000"/>
                      <a:alpha val="40000"/>
                    </a:schemeClr>
                  </a:glow>
                  <a:outerShdw blurRad="50800" dist="38100" dir="5400000" algn="t" rotWithShape="0">
                    <a:schemeClr val="tx2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effectLst>
                  <a:glow rad="139700">
                    <a:schemeClr val="accent5">
                      <a:satMod val="175000"/>
                      <a:alpha val="40000"/>
                    </a:schemeClr>
                  </a:glow>
                  <a:outerShdw blurRad="50800" dist="38100" dir="5400000" algn="t" rotWithShape="0">
                    <a:schemeClr val="tx2">
                      <a:alpha val="40000"/>
                    </a:schemeClr>
                  </a:outerShdw>
                </a:effectLst>
              </a:rPr>
              <a:t>Region</a:t>
            </a:r>
            <a:r>
              <a:rPr lang="en-US" baseline="0">
                <a:effectLst>
                  <a:glow rad="139700">
                    <a:schemeClr val="accent5">
                      <a:satMod val="175000"/>
                      <a:alpha val="40000"/>
                    </a:schemeClr>
                  </a:glow>
                  <a:outerShdw blurRad="50800" dist="38100" dir="5400000" algn="t" rotWithShape="0">
                    <a:schemeClr val="tx2">
                      <a:alpha val="40000"/>
                    </a:schemeClr>
                  </a:outerShdw>
                </a:effectLst>
              </a:rPr>
              <a:t> wise Sales and Profit</a:t>
            </a:r>
            <a:endParaRPr lang="en-US">
              <a:effectLst>
                <a:glow rad="139700">
                  <a:schemeClr val="accent5">
                    <a:satMod val="175000"/>
                    <a:alpha val="40000"/>
                  </a:schemeClr>
                </a:glow>
                <a:outerShdw blurRad="50800" dist="38100" dir="5400000" algn="t" rotWithShape="0">
                  <a:schemeClr val="tx2">
                    <a:alpha val="40000"/>
                  </a:scheme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glow rad="139700">
                  <a:schemeClr val="accent5">
                    <a:satMod val="175000"/>
                    <a:alpha val="40000"/>
                  </a:schemeClr>
                </a:glow>
                <a:outerShdw blurRad="50800" dist="38100" dir="5400000" algn="t" rotWithShape="0">
                  <a:schemeClr val="tx2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extLst>
                <c:ext xmlns:c15="http://schemas.microsoft.com/office/drawing/2012/chart" uri="{02D57815-91ED-43cb-92C2-25804820EDAC}">
                  <c15:fullRef>
                    <c15:sqref>Sheet7!$B$2:$B$3</c15:sqref>
                  </c15:fullRef>
                  <c15:levelRef>
                    <c15:sqref>Sheet7!$B$3</c15:sqref>
                  </c15:levelRef>
                </c:ext>
              </c:extLst>
              <c:f>Sheet7!$B$3</c:f>
              <c:strCache>
                <c:ptCount val="2"/>
                <c:pt idx="0">
                  <c:v>Region-wise Sales </c:v>
                </c:pt>
                <c:pt idx="1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Sheet7!$A$4:$A$7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Sheet7!$B$4:$B$7</c:f>
              <c:numCache>
                <c:formatCode>_ [$₹-4009]\ * #,##0_ ;_ [$₹-4009]\ * \-#,##0_ ;_ [$₹-4009]\ * "-"??_ ;_ @_ </c:formatCode>
                <c:ptCount val="4"/>
                <c:pt idx="0">
                  <c:v>701000</c:v>
                </c:pt>
                <c:pt idx="1">
                  <c:v>1286200</c:v>
                </c:pt>
                <c:pt idx="2">
                  <c:v>860000</c:v>
                </c:pt>
                <c:pt idx="3">
                  <c:v>468000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3-400E-9990-8634CEE21D3D}"/>
            </c:ext>
          </c:extLst>
        </c:ser>
        <c:ser>
          <c:idx val="1"/>
          <c:order val="1"/>
          <c:tx>
            <c:strRef>
              <c:extLst>
                <c:ext xmlns:c15="http://schemas.microsoft.com/office/drawing/2012/chart" uri="{02D57815-91ED-43cb-92C2-25804820EDAC}">
                  <c15:fullRef>
                    <c15:sqref>Sheet7!$C$2:$C$3</c15:sqref>
                  </c15:fullRef>
                  <c15:levelRef>
                    <c15:sqref>Sheet7!$C$3</c15:sqref>
                  </c15:levelRef>
                </c:ext>
              </c:extLst>
              <c:f>Sheet7!$C$3</c:f>
              <c:strCache>
                <c:ptCount val="2"/>
                <c:pt idx="0">
                  <c:v>Region-wise Sales </c:v>
                </c:pt>
                <c:pt idx="1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Sheet7!$A$4:$A$7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Sheet7!$C$4:$C$7</c:f>
              <c:numCache>
                <c:formatCode>_ [$₹-4009]\ * #,##0_ ;_ [$₹-4009]\ * \-#,##0_ ;_ [$₹-4009]\ * "-"??_ ;_ @_ </c:formatCode>
                <c:ptCount val="4"/>
                <c:pt idx="0">
                  <c:v>123750</c:v>
                </c:pt>
                <c:pt idx="1">
                  <c:v>230540</c:v>
                </c:pt>
                <c:pt idx="2">
                  <c:v>148750</c:v>
                </c:pt>
                <c:pt idx="3">
                  <c:v>95550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F3-400E-9990-8634CEE21D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03905680"/>
        <c:axId val="503917200"/>
      </c:barChart>
      <c:catAx>
        <c:axId val="503905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17200"/>
        <c:crossesAt val="0"/>
        <c:auto val="1"/>
        <c:lblAlgn val="ctr"/>
        <c:lblOffset val="100"/>
        <c:noMultiLvlLbl val="0"/>
      </c:catAx>
      <c:valAx>
        <c:axId val="503917200"/>
        <c:scaling>
          <c:orientation val="minMax"/>
        </c:scaling>
        <c:delete val="1"/>
        <c:axPos val="l"/>
        <c:numFmt formatCode="_ [$₹-4009]\ * #,##0_ ;_ [$₹-4009]\ * \-#,##0_ ;_ [$₹-4009]\ * &quot;-&quot;??_ ;_ @_ " sourceLinked="1"/>
        <c:majorTickMark val="out"/>
        <c:minorTickMark val="none"/>
        <c:tickLblPos val="nextTo"/>
        <c:crossAx val="50390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glow rad="139700">
                    <a:schemeClr val="accent5">
                      <a:satMod val="175000"/>
                      <a:alpha val="40000"/>
                    </a:schemeClr>
                  </a:glow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effectLst>
                  <a:glow rad="139700">
                    <a:schemeClr val="accent5">
                      <a:satMod val="175000"/>
                      <a:alpha val="40000"/>
                    </a:schemeClr>
                  </a:glow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Category</a:t>
            </a:r>
            <a:r>
              <a:rPr lang="en-US" baseline="0">
                <a:effectLst>
                  <a:glow rad="139700">
                    <a:schemeClr val="accent5">
                      <a:satMod val="175000"/>
                      <a:alpha val="40000"/>
                    </a:schemeClr>
                  </a:glow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 wise Sales and Profit</a:t>
            </a:r>
            <a:endParaRPr lang="en-US">
              <a:effectLst>
                <a:glow rad="139700">
                  <a:schemeClr val="accent5">
                    <a:satMod val="175000"/>
                    <a:alpha val="40000"/>
                  </a:schemeClr>
                </a:glow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glow rad="139700">
                  <a:schemeClr val="accent5">
                    <a:satMod val="175000"/>
                    <a:alpha val="40000"/>
                  </a:schemeClr>
                </a:glow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Sheet7!$F$4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Sheet7!$G$2:$I$3</c:f>
              <c:strCache>
                <c:ptCount val="3"/>
                <c:pt idx="0">
                  <c:v>Sales</c:v>
                </c:pt>
                <c:pt idx="1">
                  <c:v>Profit</c:v>
                </c:pt>
                <c:pt idx="2">
                  <c:v>Profit%</c:v>
                </c:pt>
              </c:strCache>
            </c:strRef>
          </c:cat>
          <c:val>
            <c:numRef>
              <c:f>Sheet7!$G$4:$I$4</c:f>
              <c:numCache>
                <c:formatCode>General</c:formatCode>
                <c:ptCount val="3"/>
                <c:pt idx="0">
                  <c:v>2106000</c:v>
                </c:pt>
                <c:pt idx="1">
                  <c:v>315900</c:v>
                </c:pt>
                <c:pt idx="2">
                  <c:v>2.6999999999999993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4-4B4D-B0D2-82D95BA98B8F}"/>
            </c:ext>
          </c:extLst>
        </c:ser>
        <c:ser>
          <c:idx val="1"/>
          <c:order val="1"/>
          <c:tx>
            <c:strRef>
              <c:f>Sheet7!$F$5</c:f>
              <c:strCache>
                <c:ptCount val="1"/>
                <c:pt idx="0">
                  <c:v>Fashion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Sheet7!$G$2:$I$3</c:f>
              <c:strCache>
                <c:ptCount val="3"/>
                <c:pt idx="0">
                  <c:v>Sales</c:v>
                </c:pt>
                <c:pt idx="1">
                  <c:v>Profit</c:v>
                </c:pt>
                <c:pt idx="2">
                  <c:v>Profit%</c:v>
                </c:pt>
              </c:strCache>
            </c:strRef>
          </c:cat>
          <c:val>
            <c:numRef>
              <c:f>Sheet7!$G$5:$I$5</c:f>
              <c:numCache>
                <c:formatCode>General</c:formatCode>
                <c:ptCount val="3"/>
                <c:pt idx="0">
                  <c:v>392200</c:v>
                </c:pt>
                <c:pt idx="1">
                  <c:v>78440</c:v>
                </c:pt>
                <c:pt idx="2">
                  <c:v>3.4000000000000008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84-4B4D-B0D2-82D95BA98B8F}"/>
            </c:ext>
          </c:extLst>
        </c:ser>
        <c:ser>
          <c:idx val="2"/>
          <c:order val="2"/>
          <c:tx>
            <c:strRef>
              <c:f>Sheet7!$F$6</c:f>
              <c:strCache>
                <c:ptCount val="1"/>
                <c:pt idx="0">
                  <c:v>Furniture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Sheet7!$G$2:$I$3</c:f>
              <c:strCache>
                <c:ptCount val="3"/>
                <c:pt idx="0">
                  <c:v>Sales</c:v>
                </c:pt>
                <c:pt idx="1">
                  <c:v>Profit</c:v>
                </c:pt>
                <c:pt idx="2">
                  <c:v>Profit%</c:v>
                </c:pt>
              </c:strCache>
            </c:strRef>
          </c:cat>
          <c:val>
            <c:numRef>
              <c:f>Sheet7!$G$6:$I$6</c:f>
              <c:numCache>
                <c:formatCode>General</c:formatCode>
                <c:ptCount val="3"/>
                <c:pt idx="0">
                  <c:v>817000</c:v>
                </c:pt>
                <c:pt idx="1">
                  <c:v>204250</c:v>
                </c:pt>
                <c:pt idx="2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84-4B4D-B0D2-82D95BA98B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34762032"/>
        <c:axId val="734766832"/>
      </c:barChart>
      <c:catAx>
        <c:axId val="73476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66832"/>
        <c:crosses val="autoZero"/>
        <c:auto val="1"/>
        <c:lblAlgn val="ctr"/>
        <c:lblOffset val="100"/>
        <c:noMultiLvlLbl val="0"/>
      </c:catAx>
      <c:valAx>
        <c:axId val="7347668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3476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glow rad="101600">
                  <a:schemeClr val="accent5">
                    <a:satMod val="175000"/>
                    <a:alpha val="40000"/>
                  </a:schemeClr>
                </a:glow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Sheet7!$G$24</c:f>
              <c:strCache>
                <c:ptCount val="1"/>
                <c:pt idx="0">
                  <c:v>Top 5 Products by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Sheet7!$I$26:$I$30</c:f>
              <c:strCache>
                <c:ptCount val="5"/>
                <c:pt idx="0">
                  <c:v>Laptop</c:v>
                </c:pt>
                <c:pt idx="1">
                  <c:v>Bed</c:v>
                </c:pt>
                <c:pt idx="2">
                  <c:v>Jacket</c:v>
                </c:pt>
                <c:pt idx="3">
                  <c:v>Sofa</c:v>
                </c:pt>
                <c:pt idx="4">
                  <c:v>Chair</c:v>
                </c:pt>
              </c:strCache>
            </c:strRef>
          </c:cat>
          <c:val>
            <c:numRef>
              <c:f>Sheet7!$H$26:$H$30</c:f>
              <c:numCache>
                <c:formatCode>General</c:formatCode>
                <c:ptCount val="5"/>
                <c:pt idx="0">
                  <c:v>105000</c:v>
                </c:pt>
                <c:pt idx="1">
                  <c:v>52500</c:v>
                </c:pt>
                <c:pt idx="2">
                  <c:v>15400</c:v>
                </c:pt>
                <c:pt idx="3">
                  <c:v>15000</c:v>
                </c:pt>
                <c:pt idx="4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1-4198-BEA4-15AD15DA90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34640048"/>
        <c:axId val="734638608"/>
      </c:barChart>
      <c:catAx>
        <c:axId val="73464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38608"/>
        <c:crosses val="autoZero"/>
        <c:auto val="1"/>
        <c:lblAlgn val="ctr"/>
        <c:lblOffset val="100"/>
        <c:noMultiLvlLbl val="0"/>
      </c:catAx>
      <c:valAx>
        <c:axId val="7346386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3464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glow rad="101600">
                    <a:schemeClr val="accent5">
                      <a:satMod val="175000"/>
                      <a:alpha val="40000"/>
                    </a:schemeClr>
                  </a:glow>
                  <a:outerShdw blurRad="50800" dist="38100" dir="5400000" algn="t" rotWithShape="0">
                    <a:schemeClr val="accent5">
                      <a:lumMod val="40000"/>
                      <a:lumOff val="60000"/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effectLst>
                  <a:glow rad="101600">
                    <a:schemeClr val="accent5">
                      <a:satMod val="175000"/>
                      <a:alpha val="40000"/>
                    </a:schemeClr>
                  </a:glow>
                  <a:outerShdw blurRad="50800" dist="38100" dir="5400000" algn="t" rotWithShape="0">
                    <a:schemeClr val="accent5">
                      <a:lumMod val="40000"/>
                      <a:lumOff val="60000"/>
                      <a:alpha val="40000"/>
                    </a:schemeClr>
                  </a:outerShdw>
                </a:effectLst>
              </a:rPr>
              <a:t>Region Wise Category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glow rad="101600">
                  <a:schemeClr val="accent5">
                    <a:satMod val="175000"/>
                    <a:alpha val="40000"/>
                  </a:schemeClr>
                </a:glow>
                <a:outerShdw blurRad="50800" dist="38100" dir="5400000" algn="t" rotWithShape="0">
                  <a:schemeClr val="accent5">
                    <a:lumMod val="40000"/>
                    <a:lumOff val="60000"/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extLst>
                <c:ext xmlns:c15="http://schemas.microsoft.com/office/drawing/2012/chart" uri="{02D57815-91ED-43cb-92C2-25804820EDAC}">
                  <c15:fullRef>
                    <c15:sqref>Sheet7!$L$2:$L$3</c15:sqref>
                  </c15:fullRef>
                  <c15:levelRef>
                    <c15:sqref>Sheet7!$L$3</c15:sqref>
                  </c15:levelRef>
                </c:ext>
              </c:extLst>
              <c:f>Sheet7!$L$3</c:f>
              <c:strCache>
                <c:ptCount val="2"/>
                <c:pt idx="0">
                  <c:v>Region wise category sales</c:v>
                </c:pt>
                <c:pt idx="1">
                  <c:v>Electronics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Sheet7!$K$4:$K$7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Sheet7!$L$4:$L$7</c:f>
              <c:numCache>
                <c:formatCode>General</c:formatCode>
                <c:ptCount val="4"/>
                <c:pt idx="0">
                  <c:v>451000</c:v>
                </c:pt>
                <c:pt idx="1">
                  <c:v>874000</c:v>
                </c:pt>
                <c:pt idx="2">
                  <c:v>620000</c:v>
                </c:pt>
                <c:pt idx="3">
                  <c:v>161000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3-49A2-8B63-09632E1A8600}"/>
            </c:ext>
          </c:extLst>
        </c:ser>
        <c:ser>
          <c:idx val="1"/>
          <c:order val="1"/>
          <c:tx>
            <c:strRef>
              <c:extLst>
                <c:ext xmlns:c15="http://schemas.microsoft.com/office/drawing/2012/chart" uri="{02D57815-91ED-43cb-92C2-25804820EDAC}">
                  <c15:fullRef>
                    <c15:sqref>Sheet7!$M$2:$M$3</c15:sqref>
                  </c15:fullRef>
                  <c15:levelRef>
                    <c15:sqref>Sheet7!$M$3</c15:sqref>
                  </c15:levelRef>
                </c:ext>
              </c:extLst>
              <c:f>Sheet7!$M$3</c:f>
              <c:strCache>
                <c:ptCount val="2"/>
                <c:pt idx="0">
                  <c:v>Region wise category sales</c:v>
                </c:pt>
                <c:pt idx="1">
                  <c:v>Fashion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Sheet7!$K$4:$K$7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Sheet7!$M$4:$M$7</c:f>
              <c:numCache>
                <c:formatCode>General</c:formatCode>
                <c:ptCount val="4"/>
                <c:pt idx="0">
                  <c:v>128000</c:v>
                </c:pt>
                <c:pt idx="1">
                  <c:v>72200</c:v>
                </c:pt>
                <c:pt idx="2">
                  <c:v>85000</c:v>
                </c:pt>
                <c:pt idx="3">
                  <c:v>107000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63-49A2-8B63-09632E1A8600}"/>
            </c:ext>
          </c:extLst>
        </c:ser>
        <c:ser>
          <c:idx val="2"/>
          <c:order val="2"/>
          <c:tx>
            <c:strRef>
              <c:extLst>
                <c:ext xmlns:c15="http://schemas.microsoft.com/office/drawing/2012/chart" uri="{02D57815-91ED-43cb-92C2-25804820EDAC}">
                  <c15:fullRef>
                    <c15:sqref>Sheet7!$N$2:$N$3</c15:sqref>
                  </c15:fullRef>
                  <c15:levelRef>
                    <c15:sqref>Sheet7!$N$3</c15:sqref>
                  </c15:levelRef>
                </c:ext>
              </c:extLst>
              <c:f>Sheet7!$N$3</c:f>
              <c:strCache>
                <c:ptCount val="2"/>
                <c:pt idx="0">
                  <c:v>Region wise category sales</c:v>
                </c:pt>
                <c:pt idx="1">
                  <c:v>Furniture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Sheet7!$K$4:$K$7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Sheet7!$N$4:$N$7</c:f>
              <c:numCache>
                <c:formatCode>General</c:formatCode>
                <c:ptCount val="4"/>
                <c:pt idx="0">
                  <c:v>122000</c:v>
                </c:pt>
                <c:pt idx="1">
                  <c:v>340000</c:v>
                </c:pt>
                <c:pt idx="2">
                  <c:v>155000</c:v>
                </c:pt>
                <c:pt idx="3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63-49A2-8B63-09632E1A86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01407760"/>
        <c:axId val="601415440"/>
      </c:barChart>
      <c:catAx>
        <c:axId val="60140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15440"/>
        <c:crosses val="autoZero"/>
        <c:auto val="1"/>
        <c:lblAlgn val="ctr"/>
        <c:lblOffset val="100"/>
        <c:noMultiLvlLbl val="0"/>
      </c:catAx>
      <c:valAx>
        <c:axId val="6014154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0140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pattFill prst="dkUpDiag">
                <a:fgClr>
                  <a:schemeClr val="lt1">
                    <a:lumMod val="85000"/>
                  </a:schemeClr>
                </a:fgClr>
                <a:bgClr>
                  <a:schemeClr val="bg1"/>
                </a:bgClr>
              </a:patt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glow rad="101600">
                  <a:schemeClr val="accent5">
                    <a:satMod val="175000"/>
                    <a:alpha val="40000"/>
                  </a:schemeClr>
                </a:glow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Sheet7!$K$24</c:f>
              <c:strCache>
                <c:ptCount val="1"/>
                <c:pt idx="0">
                  <c:v>Top 5 Products by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Sheet7!$M$26:$M$30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Bed</c:v>
                </c:pt>
                <c:pt idx="3">
                  <c:v>Tablet</c:v>
                </c:pt>
                <c:pt idx="4">
                  <c:v>TV</c:v>
                </c:pt>
              </c:strCache>
            </c:strRef>
          </c:cat>
          <c:val>
            <c:numRef>
              <c:f>Sheet7!$H$26:$H$30</c:f>
              <c:numCache>
                <c:formatCode>General</c:formatCode>
                <c:ptCount val="5"/>
                <c:pt idx="0">
                  <c:v>105000</c:v>
                </c:pt>
                <c:pt idx="1">
                  <c:v>52500</c:v>
                </c:pt>
                <c:pt idx="2">
                  <c:v>15400</c:v>
                </c:pt>
                <c:pt idx="3">
                  <c:v>15000</c:v>
                </c:pt>
                <c:pt idx="4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B-4990-8498-44915FB956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34640048"/>
        <c:axId val="734638608"/>
      </c:barChart>
      <c:catAx>
        <c:axId val="73464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38608"/>
        <c:crosses val="autoZero"/>
        <c:auto val="1"/>
        <c:lblAlgn val="ctr"/>
        <c:lblOffset val="100"/>
        <c:noMultiLvlLbl val="0"/>
      </c:catAx>
      <c:valAx>
        <c:axId val="7346386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3464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236220</xdr:colOff>
      <xdr:row>61</xdr:row>
      <xdr:rowOff>137160</xdr:rowOff>
    </xdr:from>
    <xdr:ext cx="2065020" cy="815340"/>
    <xdr:sp macro="" textlink="$G$53">
      <xdr:nvSpPr>
        <xdr:cNvPr id="2" name="TextBox 1">
          <a:extLst>
            <a:ext uri="{FF2B5EF4-FFF2-40B4-BE49-F238E27FC236}">
              <a16:creationId xmlns:a16="http://schemas.microsoft.com/office/drawing/2014/main" id="{61E9A30D-13E8-83AE-E41C-80E6D7FE7304}"/>
            </a:ext>
          </a:extLst>
        </xdr:cNvPr>
        <xdr:cNvSpPr txBox="1"/>
      </xdr:nvSpPr>
      <xdr:spPr>
        <a:xfrm>
          <a:off x="7498080" y="12047220"/>
          <a:ext cx="2065020" cy="815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8402E917-0795-4CDD-B67E-7FB2AF250BC3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3515200</a:t>
          </a:fld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7</xdr:row>
      <xdr:rowOff>7620</xdr:rowOff>
    </xdr:from>
    <xdr:to>
      <xdr:col>3</xdr:col>
      <xdr:colOff>929640</xdr:colOff>
      <xdr:row>21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3B3FA8-AAD2-23BE-CB38-B7D87D558E74}"/>
            </a:ext>
          </a:extLst>
        </xdr:cNvPr>
        <xdr:cNvSpPr txBox="1"/>
      </xdr:nvSpPr>
      <xdr:spPr>
        <a:xfrm>
          <a:off x="15240" y="1257300"/>
          <a:ext cx="2979420" cy="26289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South region drives overall growth with the highest revenue and profit, while West demonstrates superior efficiency with the strongest margin (20.4%). North remains a stable contributor, and East requires margin improvement</a:t>
          </a:r>
        </a:p>
      </xdr:txBody>
    </xdr:sp>
    <xdr:clientData/>
  </xdr:twoCellAnchor>
  <xdr:oneCellAnchor>
    <xdr:from>
      <xdr:col>5</xdr:col>
      <xdr:colOff>15240</xdr:colOff>
      <xdr:row>6</xdr:row>
      <xdr:rowOff>15240</xdr:rowOff>
    </xdr:from>
    <xdr:ext cx="2750820" cy="273558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EA61239-0440-75BD-DBFB-E7977360858B}"/>
            </a:ext>
          </a:extLst>
        </xdr:cNvPr>
        <xdr:cNvSpPr txBox="1"/>
      </xdr:nvSpPr>
      <xdr:spPr>
        <a:xfrm>
          <a:off x="3901440" y="1074420"/>
          <a:ext cx="2750820" cy="2735580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1100" b="1" i="0"/>
            <a:t>Category-wise analysis highlights that Electronics drives overall revenue growth but suffers from the lowest margin (2.7%), indicating scope for efficiency improvement. Furniture, despite lower sales, demonstrates superior profitability with the highest margin (3.75%). Fashion remains a balanced performer with moderate sales and a healthy margin of 3.4%. Overall, Electronics is the growth driver, Furniture is the efficiency driver, and Fashion provides stability."</a:t>
          </a:r>
        </a:p>
      </xdr:txBody>
    </xdr:sp>
    <xdr:clientData/>
  </xdr:oneCellAnchor>
  <xdr:twoCellAnchor>
    <xdr:from>
      <xdr:col>10</xdr:col>
      <xdr:colOff>15240</xdr:colOff>
      <xdr:row>7</xdr:row>
      <xdr:rowOff>41910</xdr:rowOff>
    </xdr:from>
    <xdr:to>
      <xdr:col>14</xdr:col>
      <xdr:colOff>0</xdr:colOff>
      <xdr:row>20</xdr:row>
      <xdr:rowOff>175260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78E8DBC-E652-6D3F-22EB-53AF24B0656C}"/>
            </a:ext>
          </a:extLst>
        </xdr:cNvPr>
        <xdr:cNvSpPr txBox="1"/>
      </xdr:nvSpPr>
      <xdr:spPr>
        <a:xfrm>
          <a:off x="7018020" y="1375410"/>
          <a:ext cx="2697480" cy="251079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 i="0"/>
            <a:t>Region-wise category analysis highlights that South region is the primary growth driver, leading in both Electronics (₹8.74 lakh) and Furniture (₹3.40 lakh). West region demonstrates a unique strength in Furniture (₹2.00 lakh), despite weaker Electronics sales. North region contributes steadily in Fashion (₹1.28 lakh), while East region remains moderate across categories without a clear leadership position. Overall, South drives scale, West shows category-specific efficiency, North provides stability in Fashion, and East requires stronger performance to compete."</a:t>
          </a:r>
        </a:p>
      </xdr:txBody>
    </xdr:sp>
    <xdr:clientData/>
  </xdr:twoCellAnchor>
  <xdr:oneCellAnchor>
    <xdr:from>
      <xdr:col>6</xdr:col>
      <xdr:colOff>518160</xdr:colOff>
      <xdr:row>26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80BE927-82EB-3B5C-5948-14E766B76D91}"/>
            </a:ext>
          </a:extLst>
        </xdr:cNvPr>
        <xdr:cNvSpPr txBox="1"/>
      </xdr:nvSpPr>
      <xdr:spPr>
        <a:xfrm>
          <a:off x="9349740" y="49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6</xdr:col>
      <xdr:colOff>0</xdr:colOff>
      <xdr:row>30</xdr:row>
      <xdr:rowOff>22860</xdr:rowOff>
    </xdr:from>
    <xdr:to>
      <xdr:col>9</xdr:col>
      <xdr:colOff>15240</xdr:colOff>
      <xdr:row>44</xdr:row>
      <xdr:rowOff>175260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7E7066-1A4E-FB8B-544B-95E101A4CB39}"/>
            </a:ext>
          </a:extLst>
        </xdr:cNvPr>
        <xdr:cNvSpPr txBox="1"/>
      </xdr:nvSpPr>
      <xdr:spPr>
        <a:xfrm>
          <a:off x="4137660" y="5303520"/>
          <a:ext cx="2072640" cy="28194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i="0"/>
            <a:t>Product-wise analysis highlights that Laptop is the primary growth driver, contributing the highest profit (₹1.05 lakh). Bed acts as a secondary contributor (₹52,500), while Jacket and Sofa provide moderate profitability (~₹15k each). Chair lags behind with the lowest profit (₹7,500), indicating scope for improvement. Overall, Laptop drives profitability scale, Bed supports mid-level contribution, and Chair requires strategic focus.</a:t>
          </a:r>
          <a:endParaRPr lang="en-IN" sz="1100" b="1" i="0"/>
        </a:p>
      </xdr:txBody>
    </xdr:sp>
    <xdr:clientData/>
  </xdr:twoCellAnchor>
  <xdr:oneCellAnchor>
    <xdr:from>
      <xdr:col>8</xdr:col>
      <xdr:colOff>198120</xdr:colOff>
      <xdr:row>37</xdr:row>
      <xdr:rowOff>175260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027626D-7E62-DC4D-603C-38EEDDCDCEA5}"/>
            </a:ext>
          </a:extLst>
        </xdr:cNvPr>
        <xdr:cNvSpPr txBox="1"/>
      </xdr:nvSpPr>
      <xdr:spPr>
        <a:xfrm>
          <a:off x="11742420" y="27889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10</xdr:col>
      <xdr:colOff>0</xdr:colOff>
      <xdr:row>30</xdr:row>
      <xdr:rowOff>72390</xdr:rowOff>
    </xdr:from>
    <xdr:to>
      <xdr:col>13</xdr:col>
      <xdr:colOff>30480</xdr:colOff>
      <xdr:row>44</xdr:row>
      <xdr:rowOff>182880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9EF9D01-A09F-4E23-81EB-B3D20790AB97}"/>
            </a:ext>
          </a:extLst>
        </xdr:cNvPr>
        <xdr:cNvSpPr txBox="1"/>
      </xdr:nvSpPr>
      <xdr:spPr>
        <a:xfrm>
          <a:off x="6492240" y="5353050"/>
          <a:ext cx="2026920" cy="277749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0"/>
            <a:t>Product-wise analysis highlights that Laptop and Mobile are the primary growth drivers, together contributing the majority of sales (₹13 lakh). Bed provides moderate contribution, while Tablet and TV lag behind with relatively low sales. Overall, Laptop and Mobile drive scale, Bed adds mid-level support, and Tablet/TV require demand improvement</a:t>
          </a:r>
        </a:p>
      </xdr:txBody>
    </xdr:sp>
    <xdr:clientData/>
  </xdr:twoCellAnchor>
  <xdr:oneCellAnchor>
    <xdr:from>
      <xdr:col>12</xdr:col>
      <xdr:colOff>304800</xdr:colOff>
      <xdr:row>38</xdr:row>
      <xdr:rowOff>160020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DDEEC49-4FA4-EF27-1C3D-519BC5F68098}"/>
            </a:ext>
          </a:extLst>
        </xdr:cNvPr>
        <xdr:cNvSpPr txBox="1"/>
      </xdr:nvSpPr>
      <xdr:spPr>
        <a:xfrm>
          <a:off x="15163800" y="3139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53340</xdr:colOff>
      <xdr:row>75</xdr:row>
      <xdr:rowOff>22860</xdr:rowOff>
    </xdr:from>
    <xdr:ext cx="4000500" cy="130302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46009FF-9615-BB4E-59F3-446CC807962E}"/>
            </a:ext>
          </a:extLst>
        </xdr:cNvPr>
        <xdr:cNvSpPr txBox="1"/>
      </xdr:nvSpPr>
      <xdr:spPr>
        <a:xfrm>
          <a:off x="53340" y="14188440"/>
          <a:ext cx="4000500" cy="1303020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b="1" i="0"/>
            <a:t>Daily sales analysis highlights that Jan 1, Jan 27, Feb 5, and Feb 19 are growth driver days with peak revenue (₹2–3 lakh). Jan 9 and Jan 20 demonstrate superior efficiency with margins above 19%, despite moderate sales. Conversely, Jan 2, Jan 16, and Feb 2 lag with margins below 8%, indicating cost inefficiencies. Overall, January shows higher margin volatility, while February balances strong revenue days with moderate efficiency.</a:t>
          </a:r>
          <a:endParaRPr lang="en-IN" sz="1100" b="1" i="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259080</xdr:colOff>
      <xdr:row>7</xdr:row>
      <xdr:rowOff>15240</xdr:rowOff>
    </xdr:from>
    <xdr:to>
      <xdr:col>7</xdr:col>
      <xdr:colOff>266700</xdr:colOff>
      <xdr:row>20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3961EA-A72C-4668-9883-04EE33B95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7</xdr:row>
      <xdr:rowOff>38100</xdr:rowOff>
    </xdr:from>
    <xdr:to>
      <xdr:col>13</xdr:col>
      <xdr:colOff>594360</xdr:colOff>
      <xdr:row>20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9ADC3A-0DF5-4F9A-A084-A253CABF4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419100</xdr:colOff>
      <xdr:row>21</xdr:row>
      <xdr:rowOff>15240</xdr:rowOff>
    </xdr:from>
    <xdr:to>
      <xdr:col>14</xdr:col>
      <xdr:colOff>38100</xdr:colOff>
      <xdr:row>33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6B3C38-090F-410A-81C2-3D788C2A57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289560</xdr:colOff>
      <xdr:row>21</xdr:row>
      <xdr:rowOff>22860</xdr:rowOff>
    </xdr:from>
    <xdr:to>
      <xdr:col>7</xdr:col>
      <xdr:colOff>281940</xdr:colOff>
      <xdr:row>33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B688EC-903F-4AAD-A867-A136590CE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91440</xdr:colOff>
      <xdr:row>7</xdr:row>
      <xdr:rowOff>60960</xdr:rowOff>
    </xdr:from>
    <xdr:to>
      <xdr:col>20</xdr:col>
      <xdr:colOff>320040</xdr:colOff>
      <xdr:row>19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6AB240A-4733-4914-98B4-10958121B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38100</xdr:colOff>
      <xdr:row>34</xdr:row>
      <xdr:rowOff>95250</xdr:rowOff>
    </xdr:from>
    <xdr:to>
      <xdr:col>8</xdr:col>
      <xdr:colOff>342900</xdr:colOff>
      <xdr:row>39</xdr:row>
      <xdr:rowOff>95250</xdr:rowOff>
    </xdr:to>
    <xdr:sp macro="" textlink="Sheet8!$G$53">
      <xdr:nvSpPr>
        <xdr:cNvPr id="11" name="TextBox 10">
          <a:extLst>
            <a:ext uri="{FF2B5EF4-FFF2-40B4-BE49-F238E27FC236}">
              <a16:creationId xmlns:a16="http://schemas.microsoft.com/office/drawing/2014/main" id="{1277F785-863E-DB0A-6291-9BBE165930DA}"/>
            </a:ext>
          </a:extLst>
        </xdr:cNvPr>
        <xdr:cNvSpPr txBox="1"/>
      </xdr:nvSpPr>
      <xdr:spPr>
        <a:xfrm>
          <a:off x="4305300" y="6313170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0BF01BA-29AA-481E-9511-C5CC2DE020F9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 </a:t>
          </a:fld>
          <a:endParaRPr lang="en-IN" sz="1100"/>
        </a:p>
      </xdr:txBody>
    </xdr:sp>
    <xdr:clientData/>
  </xdr:twoCellAnchor>
  <xdr:twoCellAnchor>
    <xdr:from>
      <xdr:col>1</xdr:col>
      <xdr:colOff>289560</xdr:colOff>
      <xdr:row>0</xdr:row>
      <xdr:rowOff>38100</xdr:rowOff>
    </xdr:from>
    <xdr:to>
      <xdr:col>5</xdr:col>
      <xdr:colOff>457200</xdr:colOff>
      <xdr:row>6</xdr:row>
      <xdr:rowOff>118110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EECD45F-6EAB-46D3-AE0C-BB131EAA996C}"/>
            </a:ext>
          </a:extLst>
        </xdr:cNvPr>
        <xdr:cNvSpPr txBox="1"/>
      </xdr:nvSpPr>
      <xdr:spPr>
        <a:xfrm>
          <a:off x="899160" y="38100"/>
          <a:ext cx="2606040" cy="117729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/>
        </a:p>
      </xdr:txBody>
    </xdr:sp>
    <xdr:clientData/>
  </xdr:twoCellAnchor>
  <xdr:twoCellAnchor>
    <xdr:from>
      <xdr:col>1</xdr:col>
      <xdr:colOff>373380</xdr:colOff>
      <xdr:row>3</xdr:row>
      <xdr:rowOff>91440</xdr:rowOff>
    </xdr:from>
    <xdr:to>
      <xdr:col>3</xdr:col>
      <xdr:colOff>274320</xdr:colOff>
      <xdr:row>6</xdr:row>
      <xdr:rowOff>30480</xdr:rowOff>
    </xdr:to>
    <xdr:sp macro="" textlink="Sheet7!Q4">
      <xdr:nvSpPr>
        <xdr:cNvPr id="14" name="Rectangle 13">
          <a:extLst>
            <a:ext uri="{FF2B5EF4-FFF2-40B4-BE49-F238E27FC236}">
              <a16:creationId xmlns:a16="http://schemas.microsoft.com/office/drawing/2014/main" id="{5F7BFA87-D22E-0AC1-4F35-0BB78B48D910}"/>
            </a:ext>
          </a:extLst>
        </xdr:cNvPr>
        <xdr:cNvSpPr/>
      </xdr:nvSpPr>
      <xdr:spPr>
        <a:xfrm>
          <a:off x="982980" y="640080"/>
          <a:ext cx="1120140" cy="48768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Aptos Narrow"/>
            </a:rPr>
            <a:t>Jan Total Sales</a:t>
          </a: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              </a:t>
          </a:r>
          <a:endParaRPr lang="en-US" sz="1100" b="0" i="0" u="none" strike="noStrike">
            <a:solidFill>
              <a:srgbClr val="000000"/>
            </a:solidFill>
            <a:latin typeface="Aptos Narrow"/>
          </a:endParaRPr>
        </a:p>
        <a:p>
          <a:pPr algn="ctr"/>
          <a:r>
            <a:rPr lang="en-US" sz="1100" b="0" i="0" u="none" strike="noStrike">
              <a:solidFill>
                <a:srgbClr val="000000"/>
              </a:solidFill>
              <a:latin typeface="Aptos Narrow"/>
            </a:rPr>
            <a:t>     </a:t>
          </a:r>
          <a:fld id="{1291EE30-C5D8-4B4C-A536-10889A4B3305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1795200</a:t>
          </a:fld>
          <a:endParaRPr lang="en-IN" sz="1100"/>
        </a:p>
      </xdr:txBody>
    </xdr:sp>
    <xdr:clientData/>
  </xdr:twoCellAnchor>
  <xdr:twoCellAnchor>
    <xdr:from>
      <xdr:col>3</xdr:col>
      <xdr:colOff>411480</xdr:colOff>
      <xdr:row>3</xdr:row>
      <xdr:rowOff>99060</xdr:rowOff>
    </xdr:from>
    <xdr:to>
      <xdr:col>5</xdr:col>
      <xdr:colOff>388620</xdr:colOff>
      <xdr:row>6</xdr:row>
      <xdr:rowOff>53340</xdr:rowOff>
    </xdr:to>
    <xdr:sp macro="" textlink="Sheet7!Q5">
      <xdr:nvSpPr>
        <xdr:cNvPr id="15" name="Rectangle 14">
          <a:extLst>
            <a:ext uri="{FF2B5EF4-FFF2-40B4-BE49-F238E27FC236}">
              <a16:creationId xmlns:a16="http://schemas.microsoft.com/office/drawing/2014/main" id="{CBEB5B38-ADDB-081C-EFB7-CC3BCFE024E3}"/>
            </a:ext>
          </a:extLst>
        </xdr:cNvPr>
        <xdr:cNvSpPr/>
      </xdr:nvSpPr>
      <xdr:spPr>
        <a:xfrm>
          <a:off x="2240280" y="647700"/>
          <a:ext cx="1196340" cy="50292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Aptos Narrow"/>
            </a:rPr>
            <a:t>Feb Total Sales</a:t>
          </a: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 </a:t>
          </a:r>
          <a:endParaRPr lang="en-US" sz="1100" b="0" i="0" u="none" strike="noStrike">
            <a:solidFill>
              <a:srgbClr val="000000"/>
            </a:solidFill>
            <a:latin typeface="Aptos Narrow"/>
          </a:endParaRPr>
        </a:p>
        <a:p>
          <a:pPr algn="ctr"/>
          <a:fld id="{51005065-D4F1-48EF-BA36-E3EBBCA67136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1520000</a:t>
          </a:fld>
          <a:endParaRPr lang="en-IN" sz="1100"/>
        </a:p>
      </xdr:txBody>
    </xdr:sp>
    <xdr:clientData/>
  </xdr:twoCellAnchor>
  <xdr:oneCellAnchor>
    <xdr:from>
      <xdr:col>2</xdr:col>
      <xdr:colOff>167640</xdr:colOff>
      <xdr:row>0</xdr:row>
      <xdr:rowOff>107442</xdr:rowOff>
    </xdr:from>
    <xdr:ext cx="1394460" cy="486156"/>
    <xdr:sp macro="" textlink="Sheet1!G53">
      <xdr:nvSpPr>
        <xdr:cNvPr id="16" name="TextBox 15">
          <a:extLst>
            <a:ext uri="{FF2B5EF4-FFF2-40B4-BE49-F238E27FC236}">
              <a16:creationId xmlns:a16="http://schemas.microsoft.com/office/drawing/2014/main" id="{2A2340EE-8DC1-2EA4-13B3-E5E7D4544730}"/>
            </a:ext>
          </a:extLst>
        </xdr:cNvPr>
        <xdr:cNvSpPr txBox="1"/>
      </xdr:nvSpPr>
      <xdr:spPr>
        <a:xfrm>
          <a:off x="1386840" y="107442"/>
          <a:ext cx="1394460" cy="48615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Aptos Narrow"/>
            </a:rPr>
            <a:t>Total Sales</a:t>
          </a:r>
        </a:p>
        <a:p>
          <a:pPr algn="ctr"/>
          <a:fld id="{4DABD90F-82A1-4BBE-9250-F3F86209C2E1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3515200</a:t>
          </a:fld>
          <a:endParaRPr lang="en-US" sz="1100" b="0" i="0" u="none" strike="noStrike">
            <a:solidFill>
              <a:srgbClr val="000000"/>
            </a:solidFill>
            <a:latin typeface="Aptos Narrow"/>
          </a:endParaRPr>
        </a:p>
        <a:p>
          <a:pPr algn="ctr"/>
          <a:endParaRPr lang="en-IN" sz="1100"/>
        </a:p>
      </xdr:txBody>
    </xdr:sp>
    <xdr:clientData/>
  </xdr:oneCellAnchor>
  <xdr:twoCellAnchor>
    <xdr:from>
      <xdr:col>6</xdr:col>
      <xdr:colOff>327660</xdr:colOff>
      <xdr:row>0</xdr:row>
      <xdr:rowOff>45720</xdr:rowOff>
    </xdr:from>
    <xdr:to>
      <xdr:col>10</xdr:col>
      <xdr:colOff>274320</xdr:colOff>
      <xdr:row>6</xdr:row>
      <xdr:rowOff>68580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37515B3-934D-044A-C38C-4089CDEBA39C}"/>
            </a:ext>
          </a:extLst>
        </xdr:cNvPr>
        <xdr:cNvSpPr txBox="1"/>
      </xdr:nvSpPr>
      <xdr:spPr>
        <a:xfrm>
          <a:off x="3985260" y="45720"/>
          <a:ext cx="2385060" cy="112014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304800</xdr:colOff>
      <xdr:row>0</xdr:row>
      <xdr:rowOff>114300</xdr:rowOff>
    </xdr:from>
    <xdr:to>
      <xdr:col>9</xdr:col>
      <xdr:colOff>312420</xdr:colOff>
      <xdr:row>3</xdr:row>
      <xdr:rowOff>15240</xdr:rowOff>
    </xdr:to>
    <xdr:sp macro="" textlink="Sheet1!G54">
      <xdr:nvSpPr>
        <xdr:cNvPr id="18" name="TextBox 17">
          <a:extLst>
            <a:ext uri="{FF2B5EF4-FFF2-40B4-BE49-F238E27FC236}">
              <a16:creationId xmlns:a16="http://schemas.microsoft.com/office/drawing/2014/main" id="{D6FF438F-B4EB-E841-EDB6-6184DA11D6B2}"/>
            </a:ext>
          </a:extLst>
        </xdr:cNvPr>
        <xdr:cNvSpPr txBox="1"/>
      </xdr:nvSpPr>
      <xdr:spPr>
        <a:xfrm>
          <a:off x="4572000" y="114300"/>
          <a:ext cx="1226820" cy="44958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Aptos Narrow"/>
            </a:rPr>
            <a:t>Total Profit</a:t>
          </a:r>
        </a:p>
        <a:p>
          <a:pPr algn="ctr"/>
          <a:fld id="{FCFD10CE-5EC7-4ABC-B4A1-804285A5AD23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6,28,590</a:t>
          </a:fld>
          <a:endParaRPr lang="en-IN" sz="1100"/>
        </a:p>
      </xdr:txBody>
    </xdr:sp>
    <xdr:clientData/>
  </xdr:twoCellAnchor>
  <xdr:oneCellAnchor>
    <xdr:from>
      <xdr:col>6</xdr:col>
      <xdr:colOff>358140</xdr:colOff>
      <xdr:row>3</xdr:row>
      <xdr:rowOff>114300</xdr:rowOff>
    </xdr:from>
    <xdr:ext cx="1051560" cy="464820"/>
    <xdr:sp macro="" textlink="Sheet7!R4">
      <xdr:nvSpPr>
        <xdr:cNvPr id="19" name="TextBox 18">
          <a:extLst>
            <a:ext uri="{FF2B5EF4-FFF2-40B4-BE49-F238E27FC236}">
              <a16:creationId xmlns:a16="http://schemas.microsoft.com/office/drawing/2014/main" id="{BE8CE4B1-E02E-DB40-6F83-260745CEB563}"/>
            </a:ext>
          </a:extLst>
        </xdr:cNvPr>
        <xdr:cNvSpPr txBox="1"/>
      </xdr:nvSpPr>
      <xdr:spPr>
        <a:xfrm>
          <a:off x="4015740" y="662940"/>
          <a:ext cx="1051560" cy="46482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Aptos Narrow"/>
            </a:rPr>
            <a:t>Jan Total Profit</a:t>
          </a:r>
        </a:p>
        <a:p>
          <a:pPr algn="ctr"/>
          <a:fld id="{1907C795-6D7A-499F-8299-7CFE6A4A4B7C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335890</a:t>
          </a:fld>
          <a:endParaRPr lang="en-IN" sz="1100"/>
        </a:p>
      </xdr:txBody>
    </xdr:sp>
    <xdr:clientData/>
  </xdr:oneCellAnchor>
  <xdr:twoCellAnchor>
    <xdr:from>
      <xdr:col>8</xdr:col>
      <xdr:colOff>289560</xdr:colOff>
      <xdr:row>3</xdr:row>
      <xdr:rowOff>106680</xdr:rowOff>
    </xdr:from>
    <xdr:to>
      <xdr:col>10</xdr:col>
      <xdr:colOff>114300</xdr:colOff>
      <xdr:row>6</xdr:row>
      <xdr:rowOff>15240</xdr:rowOff>
    </xdr:to>
    <xdr:sp macro="" textlink="Sheet7!R5">
      <xdr:nvSpPr>
        <xdr:cNvPr id="20" name="TextBox 19">
          <a:extLst>
            <a:ext uri="{FF2B5EF4-FFF2-40B4-BE49-F238E27FC236}">
              <a16:creationId xmlns:a16="http://schemas.microsoft.com/office/drawing/2014/main" id="{FCDA4A09-F8F3-807E-35F6-A86CEC4F3130}"/>
            </a:ext>
          </a:extLst>
        </xdr:cNvPr>
        <xdr:cNvSpPr txBox="1"/>
      </xdr:nvSpPr>
      <xdr:spPr>
        <a:xfrm>
          <a:off x="5166360" y="655320"/>
          <a:ext cx="1043940" cy="4572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Aptos Narrow"/>
            </a:rPr>
            <a:t>Feb total</a:t>
          </a:r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 Profit</a:t>
          </a:r>
          <a:endParaRPr lang="en-US" sz="1100" b="0" i="0" u="none" strike="noStrike">
            <a:solidFill>
              <a:srgbClr val="000000"/>
            </a:solidFill>
            <a:latin typeface="Aptos Narrow"/>
          </a:endParaRPr>
        </a:p>
        <a:p>
          <a:pPr algn="ctr"/>
          <a:fld id="{520F8C99-A699-455A-97E1-D08A9C05D2BE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262700</a:t>
          </a:fld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li Kumari" refreshedDate="46140.684608912037" createdVersion="8" refreshedVersion="8" minRefreshableVersion="3" recordCount="50" xr:uid="{C9C7BC09-6AEB-40D3-87F7-F8871EC7B250}">
  <cacheSource type="worksheet">
    <worksheetSource ref="A1:I51" sheet="Sheet1"/>
  </cacheSource>
  <cacheFields count="13">
    <cacheField name="Date" numFmtId="15">
      <sharedItems containsSemiMixedTypes="0" containsNonDate="0" containsDate="1" containsString="0" minDate="2025-01-01T00:00:00" maxDate="2025-02-20T00:00:00" count="5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</sharedItems>
      <fieldGroup par="10"/>
    </cacheField>
    <cacheField name="Region" numFmtId="0">
      <sharedItems/>
    </cacheField>
    <cacheField name="Product" numFmtId="0">
      <sharedItems count="45">
        <s v="Laptop"/>
        <s v="Mobile"/>
        <s v="Shoes"/>
        <s v="Sofa"/>
        <s v="Tablet"/>
        <s v="Shirt"/>
        <s v="Chair"/>
        <s v="Headphones"/>
        <s v="Jacket"/>
        <s v="Bed"/>
        <s v="Camera"/>
        <s v="Dress"/>
        <s v="Table"/>
        <s v="Monitor"/>
        <s v="Jeans"/>
        <s v="Cupboard"/>
        <s v="Speaker"/>
        <s v="Skirt"/>
        <s v="Stool"/>
        <s v="Keyboard"/>
        <s v="Watch"/>
        <s v="Wardrobe"/>
        <s v="Printer"/>
        <s v="T-Shirt"/>
        <s v="Desk"/>
        <s v="TV"/>
        <s v="Belt"/>
        <s v="Recliner"/>
        <s v="Mouse"/>
        <s v="Cap"/>
        <s v="Shelf"/>
        <s v="Router"/>
        <s v="Kurta"/>
        <s v="Dining Set"/>
        <s v="Console"/>
        <s v="Saree"/>
        <s v="Lamp"/>
        <s v="Drone"/>
        <s v="Blazer"/>
        <s v="Mattress"/>
        <s v="Earbuds"/>
        <s v="Kurti"/>
        <s v="Cabinet"/>
        <s v="Camera Lens"/>
        <s v="Tie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25"/>
    </cacheField>
    <cacheField name="Unit Price" numFmtId="165">
      <sharedItems containsSemiMixedTypes="0" containsString="0" containsNumber="1" containsInteger="1" minValue="600" maxValue="90000"/>
    </cacheField>
    <cacheField name="Sales" numFmtId="0">
      <sharedItems containsSemiMixedTypes="0" containsString="0" containsNumber="1" containsInteger="1" minValue="7000" maxValue="450000"/>
    </cacheField>
    <cacheField name="Profit" numFmtId="3">
      <sharedItems containsSemiMixedTypes="0" containsString="0" containsNumber="1" containsInteger="1" minValue="1400" maxValue="67500"/>
    </cacheField>
    <cacheField name="Profit%" numFmtId="9">
      <sharedItems containsSemiMixedTypes="0" containsString="0" containsNumber="1" minValue="0.15" maxValue="0.25"/>
    </cacheField>
    <cacheField name="Days (Date)" numFmtId="0" databaseField="0">
      <fieldGroup base="0">
        <rangePr groupBy="days" startDate="2025-01-01T00:00:00" endDate="2025-02-20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-02-2025"/>
        </groupItems>
      </fieldGroup>
    </cacheField>
    <cacheField name="Months (Date)" numFmtId="0" databaseField="0">
      <fieldGroup base="0">
        <rangePr groupBy="months" startDate="2025-01-01T00:00:00" endDate="2025-02-20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2-2025"/>
        </groupItems>
      </fieldGroup>
    </cacheField>
    <cacheField name="Field1" numFmtId="0" formula=" 0" databaseField="0"/>
    <cacheField name="Profit margin" numFmtId="0" formula="Profit 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s v="North"/>
    <x v="0"/>
    <s v="Electronics"/>
    <n v="5"/>
    <n v="50000"/>
    <n v="250000"/>
    <n v="37500"/>
    <n v="0.15"/>
  </r>
  <r>
    <x v="1"/>
    <s v="South"/>
    <x v="1"/>
    <s v="Electronics"/>
    <n v="10"/>
    <n v="20000"/>
    <n v="200000"/>
    <n v="30000"/>
    <n v="0.15"/>
  </r>
  <r>
    <x v="2"/>
    <s v="East"/>
    <x v="2"/>
    <s v="Fashion"/>
    <n v="15"/>
    <n v="2000"/>
    <n v="30000"/>
    <n v="6000"/>
    <n v="0.2"/>
  </r>
  <r>
    <x v="3"/>
    <s v="West"/>
    <x v="3"/>
    <s v="Furniture"/>
    <n v="2"/>
    <n v="30000"/>
    <n v="60000"/>
    <n v="15000"/>
    <n v="0.25"/>
  </r>
  <r>
    <x v="4"/>
    <s v="North"/>
    <x v="4"/>
    <s v="Electronics"/>
    <n v="8"/>
    <n v="15000"/>
    <n v="120000"/>
    <n v="18000"/>
    <n v="0.15"/>
  </r>
  <r>
    <x v="5"/>
    <s v="South"/>
    <x v="5"/>
    <s v="Fashion"/>
    <n v="20"/>
    <n v="1000"/>
    <n v="20000"/>
    <n v="4000"/>
    <n v="0.2"/>
  </r>
  <r>
    <x v="6"/>
    <s v="East"/>
    <x v="6"/>
    <s v="Furniture"/>
    <n v="6"/>
    <n v="5000"/>
    <n v="30000"/>
    <n v="7500"/>
    <n v="0.25"/>
  </r>
  <r>
    <x v="7"/>
    <s v="West"/>
    <x v="7"/>
    <s v="Electronics"/>
    <n v="12"/>
    <n v="3000"/>
    <n v="36000"/>
    <n v="5400"/>
    <n v="0.15"/>
  </r>
  <r>
    <x v="8"/>
    <s v="North"/>
    <x v="8"/>
    <s v="Fashion"/>
    <n v="10"/>
    <n v="3500"/>
    <n v="35000"/>
    <n v="7000"/>
    <n v="0.2"/>
  </r>
  <r>
    <x v="9"/>
    <s v="South"/>
    <x v="9"/>
    <s v="Furniture"/>
    <n v="3"/>
    <n v="40000"/>
    <n v="120000"/>
    <n v="30000"/>
    <n v="0.25"/>
  </r>
  <r>
    <x v="10"/>
    <s v="East"/>
    <x v="10"/>
    <s v="Electronics"/>
    <n v="4"/>
    <n v="25000"/>
    <n v="100000"/>
    <n v="15000"/>
    <n v="0.15"/>
  </r>
  <r>
    <x v="11"/>
    <s v="West"/>
    <x v="11"/>
    <s v="Fashion"/>
    <n v="12"/>
    <n v="2500"/>
    <n v="30000"/>
    <n v="6000"/>
    <n v="0.2"/>
  </r>
  <r>
    <x v="12"/>
    <s v="North"/>
    <x v="12"/>
    <s v="Furniture"/>
    <n v="5"/>
    <n v="10000"/>
    <n v="50000"/>
    <n v="12500"/>
    <n v="0.25"/>
  </r>
  <r>
    <x v="13"/>
    <s v="South"/>
    <x v="13"/>
    <s v="Electronics"/>
    <n v="7"/>
    <n v="12000"/>
    <n v="84000"/>
    <n v="12600"/>
    <n v="0.15"/>
  </r>
  <r>
    <x v="14"/>
    <s v="East"/>
    <x v="14"/>
    <s v="Fashion"/>
    <n v="18"/>
    <n v="1500"/>
    <n v="27000"/>
    <n v="5400"/>
    <n v="0.2"/>
  </r>
  <r>
    <x v="15"/>
    <s v="West"/>
    <x v="15"/>
    <s v="Furniture"/>
    <n v="2"/>
    <n v="25000"/>
    <n v="50000"/>
    <n v="12500"/>
    <n v="0.25"/>
  </r>
  <r>
    <x v="16"/>
    <s v="North"/>
    <x v="16"/>
    <s v="Electronics"/>
    <n v="9"/>
    <n v="4000"/>
    <n v="36000"/>
    <n v="5400"/>
    <n v="0.15"/>
  </r>
  <r>
    <x v="17"/>
    <s v="South"/>
    <x v="17"/>
    <s v="Fashion"/>
    <n v="14"/>
    <n v="1800"/>
    <n v="25200"/>
    <n v="5040"/>
    <n v="0.2"/>
  </r>
  <r>
    <x v="18"/>
    <s v="East"/>
    <x v="18"/>
    <s v="Furniture"/>
    <n v="8"/>
    <n v="3000"/>
    <n v="24000"/>
    <n v="6000"/>
    <n v="0.25"/>
  </r>
  <r>
    <x v="19"/>
    <s v="West"/>
    <x v="19"/>
    <s v="Electronics"/>
    <n v="15"/>
    <n v="2000"/>
    <n v="30000"/>
    <n v="4500"/>
    <n v="0.15"/>
  </r>
  <r>
    <x v="20"/>
    <s v="North"/>
    <x v="20"/>
    <s v="Fashion"/>
    <n v="6"/>
    <n v="5000"/>
    <n v="30000"/>
    <n v="6000"/>
    <n v="0.2"/>
  </r>
  <r>
    <x v="21"/>
    <s v="South"/>
    <x v="21"/>
    <s v="Furniture"/>
    <n v="2"/>
    <n v="35000"/>
    <n v="70000"/>
    <n v="17500"/>
    <n v="0.25"/>
  </r>
  <r>
    <x v="22"/>
    <s v="East"/>
    <x v="22"/>
    <s v="Electronics"/>
    <n v="3"/>
    <n v="18000"/>
    <n v="54000"/>
    <n v="8100"/>
    <n v="0.15"/>
  </r>
  <r>
    <x v="23"/>
    <s v="West"/>
    <x v="23"/>
    <s v="Fashion"/>
    <n v="25"/>
    <n v="800"/>
    <n v="20000"/>
    <n v="4000"/>
    <n v="0.2"/>
  </r>
  <r>
    <x v="24"/>
    <s v="North"/>
    <x v="24"/>
    <s v="Furniture"/>
    <n v="4"/>
    <n v="12000"/>
    <n v="48000"/>
    <n v="12000"/>
    <n v="0.25"/>
  </r>
  <r>
    <x v="25"/>
    <s v="South"/>
    <x v="25"/>
    <s v="Electronics"/>
    <n v="2"/>
    <n v="40000"/>
    <n v="80000"/>
    <n v="12000"/>
    <n v="0.15"/>
  </r>
  <r>
    <x v="26"/>
    <s v="East"/>
    <x v="26"/>
    <s v="Fashion"/>
    <n v="10"/>
    <n v="1200"/>
    <n v="12000"/>
    <n v="2400"/>
    <n v="0.2"/>
  </r>
  <r>
    <x v="27"/>
    <s v="West"/>
    <x v="27"/>
    <s v="Furniture"/>
    <n v="1"/>
    <n v="50000"/>
    <n v="50000"/>
    <n v="12500"/>
    <n v="0.25"/>
  </r>
  <r>
    <x v="28"/>
    <s v="North"/>
    <x v="28"/>
    <s v="Electronics"/>
    <n v="20"/>
    <n v="1000"/>
    <n v="20000"/>
    <n v="3000"/>
    <n v="0.15"/>
  </r>
  <r>
    <x v="29"/>
    <s v="South"/>
    <x v="29"/>
    <s v="Fashion"/>
    <n v="15"/>
    <n v="600"/>
    <n v="9000"/>
    <n v="1800"/>
    <n v="0.2"/>
  </r>
  <r>
    <x v="30"/>
    <s v="East"/>
    <x v="30"/>
    <s v="Furniture"/>
    <n v="3"/>
    <n v="15000"/>
    <n v="45000"/>
    <n v="11250"/>
    <n v="0.25"/>
  </r>
  <r>
    <x v="31"/>
    <s v="West"/>
    <x v="31"/>
    <s v="Electronics"/>
    <n v="5"/>
    <n v="5000"/>
    <n v="25000"/>
    <n v="3750"/>
    <n v="0.15"/>
  </r>
  <r>
    <x v="32"/>
    <s v="North"/>
    <x v="32"/>
    <s v="Fashion"/>
    <n v="8"/>
    <n v="2000"/>
    <n v="16000"/>
    <n v="3200"/>
    <n v="0.2"/>
  </r>
  <r>
    <x v="33"/>
    <s v="South"/>
    <x v="33"/>
    <s v="Furniture"/>
    <n v="1"/>
    <n v="60000"/>
    <n v="60000"/>
    <n v="15000"/>
    <n v="0.25"/>
  </r>
  <r>
    <x v="34"/>
    <s v="East"/>
    <x v="34"/>
    <s v="Electronics"/>
    <n v="3"/>
    <n v="22000"/>
    <n v="66000"/>
    <n v="9900"/>
    <n v="0.15"/>
  </r>
  <r>
    <x v="35"/>
    <s v="West"/>
    <x v="35"/>
    <s v="Fashion"/>
    <n v="5"/>
    <n v="3000"/>
    <n v="15000"/>
    <n v="3000"/>
    <n v="0.2"/>
  </r>
  <r>
    <x v="36"/>
    <s v="North"/>
    <x v="36"/>
    <s v="Furniture"/>
    <n v="6"/>
    <n v="4000"/>
    <n v="24000"/>
    <n v="6000"/>
    <n v="0.25"/>
  </r>
  <r>
    <x v="37"/>
    <s v="South"/>
    <x v="37"/>
    <s v="Electronics"/>
    <n v="2"/>
    <n v="30000"/>
    <n v="60000"/>
    <n v="9000"/>
    <n v="0.15"/>
  </r>
  <r>
    <x v="38"/>
    <s v="East"/>
    <x v="38"/>
    <s v="Fashion"/>
    <n v="4"/>
    <n v="4000"/>
    <n v="16000"/>
    <n v="3200"/>
    <n v="0.2"/>
  </r>
  <r>
    <x v="39"/>
    <s v="West"/>
    <x v="39"/>
    <s v="Furniture"/>
    <n v="2"/>
    <n v="20000"/>
    <n v="40000"/>
    <n v="10000"/>
    <n v="0.25"/>
  </r>
  <r>
    <x v="40"/>
    <s v="North"/>
    <x v="40"/>
    <s v="Electronics"/>
    <n v="10"/>
    <n v="2500"/>
    <n v="25000"/>
    <n v="3750"/>
    <n v="0.15"/>
  </r>
  <r>
    <x v="41"/>
    <s v="South"/>
    <x v="41"/>
    <s v="Fashion"/>
    <n v="12"/>
    <n v="1500"/>
    <n v="18000"/>
    <n v="3600"/>
    <n v="0.2"/>
  </r>
  <r>
    <x v="42"/>
    <s v="East"/>
    <x v="42"/>
    <s v="Furniture"/>
    <n v="2"/>
    <n v="28000"/>
    <n v="56000"/>
    <n v="14000"/>
    <n v="0.25"/>
  </r>
  <r>
    <x v="43"/>
    <s v="West"/>
    <x v="43"/>
    <s v="Electronics"/>
    <n v="2"/>
    <n v="35000"/>
    <n v="70000"/>
    <n v="10500"/>
    <n v="0.15"/>
  </r>
  <r>
    <x v="44"/>
    <s v="North"/>
    <x v="44"/>
    <s v="Fashion"/>
    <n v="10"/>
    <n v="700"/>
    <n v="7000"/>
    <n v="1400"/>
    <n v="0.2"/>
  </r>
  <r>
    <x v="45"/>
    <s v="South"/>
    <x v="9"/>
    <s v="Furniture"/>
    <n v="2"/>
    <n v="45000"/>
    <n v="90000"/>
    <n v="22500"/>
    <n v="0.25"/>
  </r>
  <r>
    <x v="46"/>
    <s v="East"/>
    <x v="1"/>
    <s v="Electronics"/>
    <n v="8"/>
    <n v="50000"/>
    <n v="400000"/>
    <n v="60000"/>
    <n v="0.15"/>
  </r>
  <r>
    <x v="47"/>
    <s v="West"/>
    <x v="8"/>
    <s v="Fashion"/>
    <n v="14"/>
    <n v="3000"/>
    <n v="42000"/>
    <n v="8400"/>
    <n v="0.2"/>
  </r>
  <r>
    <x v="48"/>
    <s v="North"/>
    <x v="2"/>
    <s v="Fashion"/>
    <n v="20"/>
    <n v="2000"/>
    <n v="40000"/>
    <n v="8000"/>
    <n v="0.2"/>
  </r>
  <r>
    <x v="49"/>
    <s v="South"/>
    <x v="0"/>
    <s v="Electronics"/>
    <n v="5"/>
    <n v="90000"/>
    <n v="450000"/>
    <n v="67500"/>
    <n v="0.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8D4BF-0983-43CE-A2E9-93658C1DA0EB}" name="PivotTable1" cacheId="5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A3:E54" firstHeaderRow="0" firstDataRow="1" firstDataCol="1"/>
  <pivotFields count="13">
    <pivotField compact="0" numFmtId="14" outline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dataField="1" compact="0" numFmtId="3" outline="0" showAll="0"/>
    <pivotField compact="0" numFmtId="3" outline="0" showAll="0"/>
    <pivotField dataField="1" compact="0" numFmtId="164" outline="0" showAll="0"/>
    <pivotField axis="axisRow"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9"/>
  </rowFields>
  <rowItems count="5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6" baseField="0" baseItem="0" numFmtId="3"/>
    <dataField name="Sum of Sales2" fld="6" showDataAs="difference" baseField="9" baseItem="1048828" numFmtId="3"/>
    <dataField name="Sum of Profit%" fld="8" baseField="0" baseItem="0" numFmtId="164"/>
    <dataField name="Sum of Profit%2" fld="8" showDataAs="difference" baseField="9" baseItem="1048828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5E574-9CAA-410D-BEFC-CDF3A328C938}" name="PivotTable3" cacheId="5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E55" firstHeaderRow="0" firstDataRow="1" firstDataCol="2"/>
  <pivotFields count="13">
    <pivotField compact="0" numFmtId="14" outline="0" subtotalTop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165" outline="0" subtotalTop="0" showAll="0"/>
    <pivotField dataField="1" compact="0" numFmtId="3" outline="0" subtotalTop="0" showAll="0"/>
    <pivotField dataField="1" compact="0" numFmtId="3" outline="0" subtotalTop="0" showAll="0"/>
    <pivotField dataField="1" compact="0" numFmtId="164" outline="0" subtotalTop="0" showAll="0"/>
    <pivotField axis="axisRow" compact="0" outline="0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compact="0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ubtotalTop="0" dragToRow="0" dragToCol="0" dragToPage="0" showAll="0"/>
    <pivotField compact="0" outline="0" subtotalTop="0" dragToRow="0" dragToCol="0" dragToPage="0" showAll="0"/>
  </pivotFields>
  <rowFields count="2">
    <field x="10"/>
    <field x="9"/>
  </rowFields>
  <rowItems count="52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default">
      <x v="1"/>
    </i>
    <i>
      <x v="2"/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t="default"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6" baseField="0" baseItem="0" numFmtId="3"/>
    <dataField name="Sum of Profit" fld="7" baseField="0" baseItem="0" numFmtId="3"/>
    <dataField name="Sum of Profit%" fld="8" baseField="0" baseItem="0" numFmtId="164"/>
  </dataFields>
  <formats count="7">
    <format dxfId="7">
      <pivotArea type="all" dataOnly="0" outline="0" fieldPosition="0"/>
    </format>
    <format dxfId="8">
      <pivotArea outline="0" collapsedLevelsAreSubtotals="1" fieldPosition="0"/>
    </format>
    <format dxfId="9">
      <pivotArea field="10" type="button" dataOnly="0" labelOnly="1" outline="0" axis="axisRow" fieldPosition="0"/>
    </format>
    <format dxfId="10">
      <pivotArea field="9" type="button" dataOnly="0" labelOnly="1" outline="0" axis="axisRow" fieldPosition="1"/>
    </format>
    <format dxfId="11">
      <pivotArea dataOnly="0" labelOnly="1" outline="0" fieldPosition="0">
        <references count="1">
          <reference field="10" count="2">
            <x v="1"/>
            <x v="2"/>
          </reference>
        </references>
      </pivotArea>
    </format>
    <format dxfId="12">
      <pivotArea dataOnly="0" labelOnly="1" outline="0" fieldPosition="0">
        <references count="2">
          <reference field="9" count="31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  <reference field="10" count="1" selected="0">
            <x v="1"/>
          </reference>
        </references>
      </pivotArea>
    </format>
    <format dxfId="13">
      <pivotArea dataOnly="0" labelOnly="1" outline="0" fieldPosition="0">
        <references count="2">
          <reference field="9" count="19"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  <reference field="10" count="1" selected="0">
            <x v="2"/>
          </reference>
        </references>
      </pivotArea>
    </format>
  </formats>
  <pivotTableStyleInfo name="PivotStyleMedium1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2E615-791A-456A-AF0E-49ABFB1CB03F}" name="PivotTable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3:C6" firstHeaderRow="0" firstDataRow="1" firstDataCol="1"/>
  <pivotFields count="13">
    <pivotField numFmtId="15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numFmtId="165" showAll="0"/>
    <pivotField dataField="1" showAll="0"/>
    <pivotField dataField="1" numFmtId="3" showAll="0"/>
    <pivotField numFmtId="9" showAll="0"/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6" baseField="10" baseItem="1"/>
    <dataField name="Total Profit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ABFB-6800-4B60-8CC4-46A408A1E185}">
  <dimension ref="A1:E54"/>
  <sheetViews>
    <sheetView topLeftCell="A79" workbookViewId="0">
      <selection activeCell="B8" sqref="B8"/>
    </sheetView>
  </sheetViews>
  <sheetFormatPr defaultRowHeight="14.4"/>
  <cols>
    <col min="1" max="1" width="12.77734375" bestFit="1" customWidth="1"/>
    <col min="2" max="2" width="11.5546875" bestFit="1" customWidth="1"/>
    <col min="3" max="3" width="12.5546875" bestFit="1" customWidth="1"/>
    <col min="4" max="4" width="13.21875" bestFit="1" customWidth="1"/>
    <col min="5" max="5" width="14.21875" bestFit="1" customWidth="1"/>
    <col min="6" max="6" width="6.5546875" bestFit="1" customWidth="1"/>
    <col min="7" max="7" width="8.109375" bestFit="1" customWidth="1"/>
    <col min="8" max="8" width="6.5546875" bestFit="1" customWidth="1"/>
    <col min="9" max="10" width="8.109375" bestFit="1" customWidth="1"/>
    <col min="11" max="15" width="6.5546875" bestFit="1" customWidth="1"/>
    <col min="16" max="16" width="8.109375" bestFit="1" customWidth="1"/>
    <col min="17" max="17" width="6.5546875" bestFit="1" customWidth="1"/>
    <col min="18" max="18" width="8.109375" bestFit="1" customWidth="1"/>
    <col min="19" max="19" width="6.5546875" bestFit="1" customWidth="1"/>
    <col min="20" max="30" width="8.109375" bestFit="1" customWidth="1"/>
    <col min="31" max="31" width="10.5546875" bestFit="1" customWidth="1"/>
  </cols>
  <sheetData>
    <row r="1" spans="1:5">
      <c r="A1" t="s">
        <v>86</v>
      </c>
    </row>
    <row r="3" spans="1:5">
      <c r="A3" s="22" t="s">
        <v>184</v>
      </c>
      <c r="B3" t="s">
        <v>87</v>
      </c>
      <c r="C3" t="s">
        <v>91</v>
      </c>
      <c r="D3" t="s">
        <v>93</v>
      </c>
      <c r="E3" t="s">
        <v>94</v>
      </c>
    </row>
    <row r="4" spans="1:5">
      <c r="A4" t="s">
        <v>96</v>
      </c>
      <c r="B4" s="5">
        <v>250000</v>
      </c>
      <c r="C4" s="5"/>
      <c r="D4" s="7">
        <v>0.15</v>
      </c>
      <c r="E4" s="7"/>
    </row>
    <row r="5" spans="1:5">
      <c r="A5" t="s">
        <v>97</v>
      </c>
      <c r="B5" s="5">
        <v>200000</v>
      </c>
      <c r="C5" s="5">
        <v>-50000</v>
      </c>
      <c r="D5" s="7">
        <v>0.15</v>
      </c>
      <c r="E5" s="7">
        <v>0</v>
      </c>
    </row>
    <row r="6" spans="1:5">
      <c r="A6" t="s">
        <v>98</v>
      </c>
      <c r="B6" s="5">
        <v>30000</v>
      </c>
      <c r="C6" s="5">
        <v>-170000</v>
      </c>
      <c r="D6" s="7">
        <v>0.2</v>
      </c>
      <c r="E6" s="7">
        <v>5.0000000000000017E-2</v>
      </c>
    </row>
    <row r="7" spans="1:5">
      <c r="A7" t="s">
        <v>99</v>
      </c>
      <c r="B7" s="5">
        <v>60000</v>
      </c>
      <c r="C7" s="5">
        <v>30000</v>
      </c>
      <c r="D7" s="7">
        <v>0.25</v>
      </c>
      <c r="E7" s="7">
        <v>4.9999999999999989E-2</v>
      </c>
    </row>
    <row r="8" spans="1:5">
      <c r="A8" t="s">
        <v>100</v>
      </c>
      <c r="B8" s="5">
        <v>120000</v>
      </c>
      <c r="C8" s="5">
        <v>60000</v>
      </c>
      <c r="D8" s="7">
        <v>0.15</v>
      </c>
      <c r="E8" s="7">
        <v>-0.1</v>
      </c>
    </row>
    <row r="9" spans="1:5">
      <c r="A9" t="s">
        <v>101</v>
      </c>
      <c r="B9" s="5">
        <v>20000</v>
      </c>
      <c r="C9" s="5">
        <v>-100000</v>
      </c>
      <c r="D9" s="7">
        <v>0.2</v>
      </c>
      <c r="E9" s="7">
        <v>5.0000000000000017E-2</v>
      </c>
    </row>
    <row r="10" spans="1:5">
      <c r="A10" t="s">
        <v>102</v>
      </c>
      <c r="B10" s="5">
        <v>30000</v>
      </c>
      <c r="C10" s="5">
        <v>10000</v>
      </c>
      <c r="D10" s="7">
        <v>0.25</v>
      </c>
      <c r="E10" s="7">
        <v>4.9999999999999989E-2</v>
      </c>
    </row>
    <row r="11" spans="1:5">
      <c r="A11" t="s">
        <v>103</v>
      </c>
      <c r="B11" s="5">
        <v>36000</v>
      </c>
      <c r="C11" s="5">
        <v>6000</v>
      </c>
      <c r="D11" s="7">
        <v>0.15</v>
      </c>
      <c r="E11" s="7">
        <v>-0.1</v>
      </c>
    </row>
    <row r="12" spans="1:5">
      <c r="A12" t="s">
        <v>104</v>
      </c>
      <c r="B12" s="5">
        <v>35000</v>
      </c>
      <c r="C12" s="5">
        <v>-1000</v>
      </c>
      <c r="D12" s="7">
        <v>0.2</v>
      </c>
      <c r="E12" s="7">
        <v>5.0000000000000017E-2</v>
      </c>
    </row>
    <row r="13" spans="1:5">
      <c r="A13" t="s">
        <v>105</v>
      </c>
      <c r="B13" s="5">
        <v>120000</v>
      </c>
      <c r="C13" s="5">
        <v>85000</v>
      </c>
      <c r="D13" s="7">
        <v>0.25</v>
      </c>
      <c r="E13" s="7">
        <v>4.9999999999999989E-2</v>
      </c>
    </row>
    <row r="14" spans="1:5">
      <c r="A14" t="s">
        <v>106</v>
      </c>
      <c r="B14" s="5">
        <v>100000</v>
      </c>
      <c r="C14" s="5">
        <v>-20000</v>
      </c>
      <c r="D14" s="7">
        <v>0.15</v>
      </c>
      <c r="E14" s="7">
        <v>-0.1</v>
      </c>
    </row>
    <row r="15" spans="1:5">
      <c r="A15" t="s">
        <v>107</v>
      </c>
      <c r="B15" s="5">
        <v>30000</v>
      </c>
      <c r="C15" s="5">
        <v>-70000</v>
      </c>
      <c r="D15" s="7">
        <v>0.2</v>
      </c>
      <c r="E15" s="7">
        <v>5.0000000000000017E-2</v>
      </c>
    </row>
    <row r="16" spans="1:5">
      <c r="A16" t="s">
        <v>108</v>
      </c>
      <c r="B16" s="5">
        <v>50000</v>
      </c>
      <c r="C16" s="5">
        <v>20000</v>
      </c>
      <c r="D16" s="7">
        <v>0.25</v>
      </c>
      <c r="E16" s="7">
        <v>4.9999999999999989E-2</v>
      </c>
    </row>
    <row r="17" spans="1:5">
      <c r="A17" t="s">
        <v>109</v>
      </c>
      <c r="B17" s="5">
        <v>84000</v>
      </c>
      <c r="C17" s="5">
        <v>34000</v>
      </c>
      <c r="D17" s="7">
        <v>0.15</v>
      </c>
      <c r="E17" s="7">
        <v>-0.1</v>
      </c>
    </row>
    <row r="18" spans="1:5">
      <c r="A18" t="s">
        <v>110</v>
      </c>
      <c r="B18" s="5">
        <v>27000</v>
      </c>
      <c r="C18" s="5">
        <v>-57000</v>
      </c>
      <c r="D18" s="7">
        <v>0.2</v>
      </c>
      <c r="E18" s="7">
        <v>5.0000000000000017E-2</v>
      </c>
    </row>
    <row r="19" spans="1:5">
      <c r="A19" t="s">
        <v>111</v>
      </c>
      <c r="B19" s="5">
        <v>50000</v>
      </c>
      <c r="C19" s="5">
        <v>23000</v>
      </c>
      <c r="D19" s="7">
        <v>0.25</v>
      </c>
      <c r="E19" s="7">
        <v>4.9999999999999989E-2</v>
      </c>
    </row>
    <row r="20" spans="1:5">
      <c r="A20" t="s">
        <v>112</v>
      </c>
      <c r="B20" s="5">
        <v>36000</v>
      </c>
      <c r="C20" s="5">
        <v>-14000</v>
      </c>
      <c r="D20" s="7">
        <v>0.15</v>
      </c>
      <c r="E20" s="7">
        <v>-0.1</v>
      </c>
    </row>
    <row r="21" spans="1:5">
      <c r="A21" t="s">
        <v>113</v>
      </c>
      <c r="B21" s="5">
        <v>25200</v>
      </c>
      <c r="C21" s="5">
        <v>-10800</v>
      </c>
      <c r="D21" s="7">
        <v>0.2</v>
      </c>
      <c r="E21" s="7">
        <v>5.0000000000000017E-2</v>
      </c>
    </row>
    <row r="22" spans="1:5">
      <c r="A22" t="s">
        <v>114</v>
      </c>
      <c r="B22" s="5">
        <v>24000</v>
      </c>
      <c r="C22" s="5">
        <v>-1200</v>
      </c>
      <c r="D22" s="7">
        <v>0.25</v>
      </c>
      <c r="E22" s="7">
        <v>4.9999999999999989E-2</v>
      </c>
    </row>
    <row r="23" spans="1:5">
      <c r="A23" t="s">
        <v>115</v>
      </c>
      <c r="B23" s="5">
        <v>30000</v>
      </c>
      <c r="C23" s="5">
        <v>6000</v>
      </c>
      <c r="D23" s="7">
        <v>0.15</v>
      </c>
      <c r="E23" s="7">
        <v>-0.1</v>
      </c>
    </row>
    <row r="24" spans="1:5">
      <c r="A24" t="s">
        <v>116</v>
      </c>
      <c r="B24" s="5">
        <v>30000</v>
      </c>
      <c r="C24" s="5">
        <v>0</v>
      </c>
      <c r="D24" s="7">
        <v>0.2</v>
      </c>
      <c r="E24" s="7">
        <v>5.0000000000000017E-2</v>
      </c>
    </row>
    <row r="25" spans="1:5">
      <c r="A25" t="s">
        <v>117</v>
      </c>
      <c r="B25" s="5">
        <v>70000</v>
      </c>
      <c r="C25" s="5">
        <v>40000</v>
      </c>
      <c r="D25" s="7">
        <v>0.25</v>
      </c>
      <c r="E25" s="7">
        <v>4.9999999999999989E-2</v>
      </c>
    </row>
    <row r="26" spans="1:5">
      <c r="A26" t="s">
        <v>118</v>
      </c>
      <c r="B26" s="5">
        <v>54000</v>
      </c>
      <c r="C26" s="5">
        <v>-16000</v>
      </c>
      <c r="D26" s="7">
        <v>0.15</v>
      </c>
      <c r="E26" s="7">
        <v>-0.1</v>
      </c>
    </row>
    <row r="27" spans="1:5">
      <c r="A27" t="s">
        <v>119</v>
      </c>
      <c r="B27" s="5">
        <v>20000</v>
      </c>
      <c r="C27" s="5">
        <v>-34000</v>
      </c>
      <c r="D27" s="7">
        <v>0.2</v>
      </c>
      <c r="E27" s="7">
        <v>5.0000000000000017E-2</v>
      </c>
    </row>
    <row r="28" spans="1:5">
      <c r="A28" t="s">
        <v>120</v>
      </c>
      <c r="B28" s="5">
        <v>48000</v>
      </c>
      <c r="C28" s="5">
        <v>28000</v>
      </c>
      <c r="D28" s="7">
        <v>0.25</v>
      </c>
      <c r="E28" s="7">
        <v>4.9999999999999989E-2</v>
      </c>
    </row>
    <row r="29" spans="1:5">
      <c r="A29" t="s">
        <v>121</v>
      </c>
      <c r="B29" s="5">
        <v>80000</v>
      </c>
      <c r="C29" s="5">
        <v>32000</v>
      </c>
      <c r="D29" s="7">
        <v>0.15</v>
      </c>
      <c r="E29" s="7">
        <v>-0.1</v>
      </c>
    </row>
    <row r="30" spans="1:5">
      <c r="A30" t="s">
        <v>122</v>
      </c>
      <c r="B30" s="5">
        <v>12000</v>
      </c>
      <c r="C30" s="5">
        <v>-68000</v>
      </c>
      <c r="D30" s="7">
        <v>0.2</v>
      </c>
      <c r="E30" s="7">
        <v>5.0000000000000017E-2</v>
      </c>
    </row>
    <row r="31" spans="1:5">
      <c r="A31" t="s">
        <v>123</v>
      </c>
      <c r="B31" s="5">
        <v>50000</v>
      </c>
      <c r="C31" s="5">
        <v>38000</v>
      </c>
      <c r="D31" s="7">
        <v>0.25</v>
      </c>
      <c r="E31" s="7">
        <v>4.9999999999999989E-2</v>
      </c>
    </row>
    <row r="32" spans="1:5">
      <c r="A32" t="s">
        <v>124</v>
      </c>
      <c r="B32" s="5">
        <v>20000</v>
      </c>
      <c r="C32" s="5">
        <v>-30000</v>
      </c>
      <c r="D32" s="7">
        <v>0.15</v>
      </c>
      <c r="E32" s="7">
        <v>-0.1</v>
      </c>
    </row>
    <row r="33" spans="1:5">
      <c r="A33" t="s">
        <v>125</v>
      </c>
      <c r="B33" s="5">
        <v>9000</v>
      </c>
      <c r="C33" s="5">
        <v>-11000</v>
      </c>
      <c r="D33" s="7">
        <v>0.2</v>
      </c>
      <c r="E33" s="7">
        <v>5.0000000000000017E-2</v>
      </c>
    </row>
    <row r="34" spans="1:5">
      <c r="A34" t="s">
        <v>126</v>
      </c>
      <c r="B34" s="5">
        <v>45000</v>
      </c>
      <c r="C34" s="5">
        <v>36000</v>
      </c>
      <c r="D34" s="7">
        <v>0.25</v>
      </c>
      <c r="E34" s="7">
        <v>4.9999999999999989E-2</v>
      </c>
    </row>
    <row r="35" spans="1:5">
      <c r="A35" t="s">
        <v>127</v>
      </c>
      <c r="B35" s="5">
        <v>25000</v>
      </c>
      <c r="C35" s="5">
        <v>-20000</v>
      </c>
      <c r="D35" s="7">
        <v>0.15</v>
      </c>
      <c r="E35" s="7">
        <v>-0.1</v>
      </c>
    </row>
    <row r="36" spans="1:5">
      <c r="A36" t="s">
        <v>128</v>
      </c>
      <c r="B36" s="5">
        <v>16000</v>
      </c>
      <c r="C36" s="5">
        <v>-9000</v>
      </c>
      <c r="D36" s="7">
        <v>0.2</v>
      </c>
      <c r="E36" s="7">
        <v>5.0000000000000017E-2</v>
      </c>
    </row>
    <row r="37" spans="1:5">
      <c r="A37" t="s">
        <v>129</v>
      </c>
      <c r="B37" s="5">
        <v>60000</v>
      </c>
      <c r="C37" s="5">
        <v>44000</v>
      </c>
      <c r="D37" s="7">
        <v>0.25</v>
      </c>
      <c r="E37" s="7">
        <v>4.9999999999999989E-2</v>
      </c>
    </row>
    <row r="38" spans="1:5">
      <c r="A38" t="s">
        <v>130</v>
      </c>
      <c r="B38" s="5">
        <v>66000</v>
      </c>
      <c r="C38" s="5">
        <v>6000</v>
      </c>
      <c r="D38" s="7">
        <v>0.15</v>
      </c>
      <c r="E38" s="7">
        <v>-0.1</v>
      </c>
    </row>
    <row r="39" spans="1:5">
      <c r="A39" t="s">
        <v>131</v>
      </c>
      <c r="B39" s="5">
        <v>15000</v>
      </c>
      <c r="C39" s="5">
        <v>-51000</v>
      </c>
      <c r="D39" s="7">
        <v>0.2</v>
      </c>
      <c r="E39" s="7">
        <v>5.0000000000000017E-2</v>
      </c>
    </row>
    <row r="40" spans="1:5">
      <c r="A40" t="s">
        <v>132</v>
      </c>
      <c r="B40" s="5">
        <v>24000</v>
      </c>
      <c r="C40" s="5">
        <v>9000</v>
      </c>
      <c r="D40" s="7">
        <v>0.25</v>
      </c>
      <c r="E40" s="7">
        <v>4.9999999999999989E-2</v>
      </c>
    </row>
    <row r="41" spans="1:5">
      <c r="A41" t="s">
        <v>133</v>
      </c>
      <c r="B41" s="5">
        <v>60000</v>
      </c>
      <c r="C41" s="5">
        <v>36000</v>
      </c>
      <c r="D41" s="7">
        <v>0.15</v>
      </c>
      <c r="E41" s="7">
        <v>-0.1</v>
      </c>
    </row>
    <row r="42" spans="1:5">
      <c r="A42" t="s">
        <v>134</v>
      </c>
      <c r="B42" s="5">
        <v>16000</v>
      </c>
      <c r="C42" s="5">
        <v>-44000</v>
      </c>
      <c r="D42" s="7">
        <v>0.2</v>
      </c>
      <c r="E42" s="7">
        <v>5.0000000000000017E-2</v>
      </c>
    </row>
    <row r="43" spans="1:5">
      <c r="A43" t="s">
        <v>135</v>
      </c>
      <c r="B43" s="5">
        <v>40000</v>
      </c>
      <c r="C43" s="5">
        <v>24000</v>
      </c>
      <c r="D43" s="7">
        <v>0.25</v>
      </c>
      <c r="E43" s="7">
        <v>4.9999999999999989E-2</v>
      </c>
    </row>
    <row r="44" spans="1:5">
      <c r="A44" t="s">
        <v>136</v>
      </c>
      <c r="B44" s="5">
        <v>25000</v>
      </c>
      <c r="C44" s="5">
        <v>-15000</v>
      </c>
      <c r="D44" s="7">
        <v>0.15</v>
      </c>
      <c r="E44" s="7">
        <v>-0.1</v>
      </c>
    </row>
    <row r="45" spans="1:5">
      <c r="A45" t="s">
        <v>137</v>
      </c>
      <c r="B45" s="5">
        <v>18000</v>
      </c>
      <c r="C45" s="5">
        <v>-7000</v>
      </c>
      <c r="D45" s="7">
        <v>0.2</v>
      </c>
      <c r="E45" s="7">
        <v>5.0000000000000017E-2</v>
      </c>
    </row>
    <row r="46" spans="1:5">
      <c r="A46" t="s">
        <v>138</v>
      </c>
      <c r="B46" s="5">
        <v>56000</v>
      </c>
      <c r="C46" s="5">
        <v>38000</v>
      </c>
      <c r="D46" s="7">
        <v>0.25</v>
      </c>
      <c r="E46" s="7">
        <v>4.9999999999999989E-2</v>
      </c>
    </row>
    <row r="47" spans="1:5">
      <c r="A47" t="s">
        <v>139</v>
      </c>
      <c r="B47" s="5">
        <v>70000</v>
      </c>
      <c r="C47" s="5">
        <v>14000</v>
      </c>
      <c r="D47" s="7">
        <v>0.15</v>
      </c>
      <c r="E47" s="7">
        <v>-0.1</v>
      </c>
    </row>
    <row r="48" spans="1:5">
      <c r="A48" t="s">
        <v>140</v>
      </c>
      <c r="B48" s="5">
        <v>7000</v>
      </c>
      <c r="C48" s="5">
        <v>-63000</v>
      </c>
      <c r="D48" s="7">
        <v>0.2</v>
      </c>
      <c r="E48" s="7">
        <v>5.0000000000000017E-2</v>
      </c>
    </row>
    <row r="49" spans="1:5">
      <c r="A49" t="s">
        <v>141</v>
      </c>
      <c r="B49" s="5">
        <v>90000</v>
      </c>
      <c r="C49" s="5">
        <v>83000</v>
      </c>
      <c r="D49" s="7">
        <v>0.25</v>
      </c>
      <c r="E49" s="7">
        <v>4.9999999999999989E-2</v>
      </c>
    </row>
    <row r="50" spans="1:5">
      <c r="A50" t="s">
        <v>142</v>
      </c>
      <c r="B50" s="5">
        <v>400000</v>
      </c>
      <c r="C50" s="5">
        <v>310000</v>
      </c>
      <c r="D50" s="7">
        <v>0.15</v>
      </c>
      <c r="E50" s="7">
        <v>-0.1</v>
      </c>
    </row>
    <row r="51" spans="1:5">
      <c r="A51" t="s">
        <v>143</v>
      </c>
      <c r="B51" s="5">
        <v>42000</v>
      </c>
      <c r="C51" s="5">
        <v>-358000</v>
      </c>
      <c r="D51" s="7">
        <v>0.2</v>
      </c>
      <c r="E51" s="7">
        <v>5.0000000000000017E-2</v>
      </c>
    </row>
    <row r="52" spans="1:5">
      <c r="A52" t="s">
        <v>144</v>
      </c>
      <c r="B52" s="5">
        <v>40000</v>
      </c>
      <c r="C52" s="5">
        <v>-2000</v>
      </c>
      <c r="D52" s="7">
        <v>0.2</v>
      </c>
      <c r="E52" s="7">
        <v>0</v>
      </c>
    </row>
    <row r="53" spans="1:5">
      <c r="A53" t="s">
        <v>145</v>
      </c>
      <c r="B53" s="5">
        <v>450000</v>
      </c>
      <c r="C53" s="5">
        <v>410000</v>
      </c>
      <c r="D53" s="7">
        <v>0.15</v>
      </c>
      <c r="E53" s="7">
        <v>-5.0000000000000017E-2</v>
      </c>
    </row>
    <row r="54" spans="1:5">
      <c r="A54" t="s">
        <v>88</v>
      </c>
      <c r="B54" s="5">
        <v>3315200</v>
      </c>
      <c r="C54" s="5"/>
      <c r="D54" s="7">
        <v>9.8500000000000014</v>
      </c>
      <c r="E5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C3A2-1619-4A64-A8F7-73514CCE340A}">
  <dimension ref="A2:E55"/>
  <sheetViews>
    <sheetView workbookViewId="0">
      <selection activeCell="C12" sqref="C12"/>
    </sheetView>
  </sheetViews>
  <sheetFormatPr defaultRowHeight="14.4"/>
  <cols>
    <col min="1" max="1" width="12.44140625" bestFit="1" customWidth="1"/>
    <col min="2" max="2" width="12.77734375" bestFit="1" customWidth="1"/>
    <col min="3" max="4" width="11.5546875" bestFit="1" customWidth="1"/>
    <col min="5" max="5" width="13.21875" bestFit="1" customWidth="1"/>
    <col min="6" max="8" width="11.5546875" bestFit="1" customWidth="1"/>
    <col min="9" max="10" width="16.109375" bestFit="1" customWidth="1"/>
    <col min="11" max="11" width="11.21875" bestFit="1" customWidth="1"/>
    <col min="12" max="12" width="10.33203125" bestFit="1" customWidth="1"/>
    <col min="13" max="13" width="11.109375" bestFit="1" customWidth="1"/>
    <col min="14" max="14" width="7.44140625" bestFit="1" customWidth="1"/>
    <col min="15" max="15" width="9.44140625" bestFit="1" customWidth="1"/>
    <col min="16" max="16" width="8.109375" bestFit="1" customWidth="1"/>
    <col min="17" max="17" width="10.44140625" bestFit="1" customWidth="1"/>
    <col min="18" max="18" width="8.5546875" bestFit="1" customWidth="1"/>
    <col min="19" max="19" width="9.109375" bestFit="1" customWidth="1"/>
    <col min="20" max="20" width="10.33203125" bestFit="1" customWidth="1"/>
    <col min="21" max="21" width="10.6640625" bestFit="1" customWidth="1"/>
    <col min="22" max="22" width="10.33203125" bestFit="1" customWidth="1"/>
    <col min="23" max="24" width="8.109375" bestFit="1" customWidth="1"/>
    <col min="25" max="25" width="10.77734375" bestFit="1" customWidth="1"/>
    <col min="26" max="26" width="11.5546875" bestFit="1" customWidth="1"/>
    <col min="27" max="27" width="8.6640625" bestFit="1" customWidth="1"/>
    <col min="28" max="28" width="8.5546875" bestFit="1" customWidth="1"/>
    <col min="29" max="29" width="9.88671875" bestFit="1" customWidth="1"/>
    <col min="30" max="30" width="13.109375" bestFit="1" customWidth="1"/>
    <col min="31" max="31" width="16" bestFit="1" customWidth="1"/>
    <col min="32" max="32" width="8" bestFit="1" customWidth="1"/>
    <col min="33" max="33" width="10.77734375" bestFit="1" customWidth="1"/>
    <col min="34" max="34" width="10.33203125" bestFit="1" customWidth="1"/>
    <col min="35" max="35" width="11.21875" bestFit="1" customWidth="1"/>
    <col min="36" max="36" width="10.33203125" bestFit="1" customWidth="1"/>
    <col min="37" max="37" width="11.109375" bestFit="1" customWidth="1"/>
    <col min="38" max="38" width="7.44140625" bestFit="1" customWidth="1"/>
    <col min="39" max="39" width="9.44140625" bestFit="1" customWidth="1"/>
    <col min="40" max="40" width="7.6640625" bestFit="1" customWidth="1"/>
    <col min="41" max="41" width="10.44140625" bestFit="1" customWidth="1"/>
    <col min="42" max="42" width="8.5546875" bestFit="1" customWidth="1"/>
    <col min="43" max="43" width="9.109375" bestFit="1" customWidth="1"/>
    <col min="44" max="44" width="10.33203125" bestFit="1" customWidth="1"/>
    <col min="45" max="45" width="10.6640625" bestFit="1" customWidth="1"/>
    <col min="46" max="46" width="10.33203125" bestFit="1" customWidth="1"/>
    <col min="47" max="47" width="7.44140625" bestFit="1" customWidth="1"/>
    <col min="48" max="48" width="8" bestFit="1" customWidth="1"/>
    <col min="49" max="49" width="10.77734375" bestFit="1" customWidth="1"/>
    <col min="50" max="51" width="16.109375" bestFit="1" customWidth="1"/>
  </cols>
  <sheetData>
    <row r="2" spans="1:5" ht="15" thickBot="1"/>
    <row r="3" spans="1:5" ht="15" thickBot="1">
      <c r="A3" s="48" t="s">
        <v>183</v>
      </c>
      <c r="B3" s="48" t="s">
        <v>184</v>
      </c>
      <c r="C3" s="40" t="s">
        <v>87</v>
      </c>
      <c r="D3" s="40" t="s">
        <v>182</v>
      </c>
      <c r="E3" s="40" t="s">
        <v>93</v>
      </c>
    </row>
    <row r="4" spans="1:5" ht="15" thickBot="1">
      <c r="A4" s="40" t="s">
        <v>89</v>
      </c>
      <c r="B4" s="40" t="s">
        <v>96</v>
      </c>
      <c r="C4" s="49">
        <v>250000</v>
      </c>
      <c r="D4" s="49">
        <v>37500</v>
      </c>
      <c r="E4" s="50">
        <v>0.15</v>
      </c>
    </row>
    <row r="5" spans="1:5" ht="15" thickBot="1">
      <c r="A5" s="40"/>
      <c r="B5" s="40" t="s">
        <v>97</v>
      </c>
      <c r="C5" s="49">
        <v>200000</v>
      </c>
      <c r="D5" s="49">
        <v>30000</v>
      </c>
      <c r="E5" s="50">
        <v>0.15</v>
      </c>
    </row>
    <row r="6" spans="1:5" ht="15" thickBot="1">
      <c r="A6" s="40"/>
      <c r="B6" s="40" t="s">
        <v>98</v>
      </c>
      <c r="C6" s="49">
        <v>30000</v>
      </c>
      <c r="D6" s="49">
        <v>6000</v>
      </c>
      <c r="E6" s="50">
        <v>0.2</v>
      </c>
    </row>
    <row r="7" spans="1:5" ht="15" thickBot="1">
      <c r="A7" s="40"/>
      <c r="B7" s="40" t="s">
        <v>99</v>
      </c>
      <c r="C7" s="49">
        <v>60000</v>
      </c>
      <c r="D7" s="49">
        <v>15000</v>
      </c>
      <c r="E7" s="50">
        <v>0.25</v>
      </c>
    </row>
    <row r="8" spans="1:5" ht="15" thickBot="1">
      <c r="A8" s="40"/>
      <c r="B8" s="40" t="s">
        <v>100</v>
      </c>
      <c r="C8" s="49">
        <v>120000</v>
      </c>
      <c r="D8" s="49">
        <v>18000</v>
      </c>
      <c r="E8" s="50">
        <v>0.15</v>
      </c>
    </row>
    <row r="9" spans="1:5" ht="15" thickBot="1">
      <c r="A9" s="40"/>
      <c r="B9" s="40" t="s">
        <v>101</v>
      </c>
      <c r="C9" s="49">
        <v>20000</v>
      </c>
      <c r="D9" s="49">
        <v>4000</v>
      </c>
      <c r="E9" s="50">
        <v>0.2</v>
      </c>
    </row>
    <row r="10" spans="1:5" ht="15" thickBot="1">
      <c r="A10" s="40"/>
      <c r="B10" s="40" t="s">
        <v>102</v>
      </c>
      <c r="C10" s="49">
        <v>30000</v>
      </c>
      <c r="D10" s="49">
        <v>7500</v>
      </c>
      <c r="E10" s="50">
        <v>0.25</v>
      </c>
    </row>
    <row r="11" spans="1:5" ht="15" thickBot="1">
      <c r="A11" s="40"/>
      <c r="B11" s="40" t="s">
        <v>103</v>
      </c>
      <c r="C11" s="49">
        <v>36000</v>
      </c>
      <c r="D11" s="49">
        <v>5400</v>
      </c>
      <c r="E11" s="50">
        <v>0.15</v>
      </c>
    </row>
    <row r="12" spans="1:5" ht="15" thickBot="1">
      <c r="A12" s="40"/>
      <c r="B12" s="40" t="s">
        <v>104</v>
      </c>
      <c r="C12" s="49">
        <v>35000</v>
      </c>
      <c r="D12" s="49">
        <v>7000</v>
      </c>
      <c r="E12" s="50">
        <v>0.2</v>
      </c>
    </row>
    <row r="13" spans="1:5" ht="15" thickBot="1">
      <c r="A13" s="40"/>
      <c r="B13" s="40" t="s">
        <v>105</v>
      </c>
      <c r="C13" s="49">
        <v>120000</v>
      </c>
      <c r="D13" s="49">
        <v>30000</v>
      </c>
      <c r="E13" s="50">
        <v>0.25</v>
      </c>
    </row>
    <row r="14" spans="1:5" ht="15" thickBot="1">
      <c r="A14" s="40"/>
      <c r="B14" s="40" t="s">
        <v>106</v>
      </c>
      <c r="C14" s="49">
        <v>100000</v>
      </c>
      <c r="D14" s="49">
        <v>15000</v>
      </c>
      <c r="E14" s="50">
        <v>0.15</v>
      </c>
    </row>
    <row r="15" spans="1:5" ht="15" thickBot="1">
      <c r="A15" s="40"/>
      <c r="B15" s="40" t="s">
        <v>107</v>
      </c>
      <c r="C15" s="49">
        <v>30000</v>
      </c>
      <c r="D15" s="49">
        <v>6000</v>
      </c>
      <c r="E15" s="50">
        <v>0.2</v>
      </c>
    </row>
    <row r="16" spans="1:5" ht="15" thickBot="1">
      <c r="A16" s="40"/>
      <c r="B16" s="40" t="s">
        <v>108</v>
      </c>
      <c r="C16" s="49">
        <v>50000</v>
      </c>
      <c r="D16" s="49">
        <v>12500</v>
      </c>
      <c r="E16" s="50">
        <v>0.25</v>
      </c>
    </row>
    <row r="17" spans="1:5" ht="15" thickBot="1">
      <c r="A17" s="40"/>
      <c r="B17" s="40" t="s">
        <v>109</v>
      </c>
      <c r="C17" s="49">
        <v>84000</v>
      </c>
      <c r="D17" s="49">
        <v>12600</v>
      </c>
      <c r="E17" s="50">
        <v>0.15</v>
      </c>
    </row>
    <row r="18" spans="1:5" ht="15" thickBot="1">
      <c r="A18" s="40"/>
      <c r="B18" s="40" t="s">
        <v>110</v>
      </c>
      <c r="C18" s="49">
        <v>27000</v>
      </c>
      <c r="D18" s="49">
        <v>5400</v>
      </c>
      <c r="E18" s="50">
        <v>0.2</v>
      </c>
    </row>
    <row r="19" spans="1:5" ht="15" thickBot="1">
      <c r="A19" s="40"/>
      <c r="B19" s="40" t="s">
        <v>111</v>
      </c>
      <c r="C19" s="49">
        <v>50000</v>
      </c>
      <c r="D19" s="49">
        <v>12500</v>
      </c>
      <c r="E19" s="50">
        <v>0.25</v>
      </c>
    </row>
    <row r="20" spans="1:5" ht="15" thickBot="1">
      <c r="A20" s="40"/>
      <c r="B20" s="40" t="s">
        <v>112</v>
      </c>
      <c r="C20" s="49">
        <v>36000</v>
      </c>
      <c r="D20" s="49">
        <v>5400</v>
      </c>
      <c r="E20" s="50">
        <v>0.15</v>
      </c>
    </row>
    <row r="21" spans="1:5" ht="15" thickBot="1">
      <c r="A21" s="40"/>
      <c r="B21" s="40" t="s">
        <v>113</v>
      </c>
      <c r="C21" s="49">
        <v>25200</v>
      </c>
      <c r="D21" s="49">
        <v>5040</v>
      </c>
      <c r="E21" s="50">
        <v>0.2</v>
      </c>
    </row>
    <row r="22" spans="1:5" ht="15" thickBot="1">
      <c r="A22" s="40"/>
      <c r="B22" s="40" t="s">
        <v>114</v>
      </c>
      <c r="C22" s="49">
        <v>24000</v>
      </c>
      <c r="D22" s="49">
        <v>6000</v>
      </c>
      <c r="E22" s="50">
        <v>0.25</v>
      </c>
    </row>
    <row r="23" spans="1:5" ht="15" thickBot="1">
      <c r="A23" s="40"/>
      <c r="B23" s="40" t="s">
        <v>115</v>
      </c>
      <c r="C23" s="49">
        <v>30000</v>
      </c>
      <c r="D23" s="49">
        <v>4500</v>
      </c>
      <c r="E23" s="50">
        <v>0.15</v>
      </c>
    </row>
    <row r="24" spans="1:5" ht="15" thickBot="1">
      <c r="A24" s="40"/>
      <c r="B24" s="40" t="s">
        <v>116</v>
      </c>
      <c r="C24" s="49">
        <v>30000</v>
      </c>
      <c r="D24" s="49">
        <v>6000</v>
      </c>
      <c r="E24" s="50">
        <v>0.2</v>
      </c>
    </row>
    <row r="25" spans="1:5" ht="15" thickBot="1">
      <c r="A25" s="40"/>
      <c r="B25" s="40" t="s">
        <v>117</v>
      </c>
      <c r="C25" s="49">
        <v>70000</v>
      </c>
      <c r="D25" s="49">
        <v>17500</v>
      </c>
      <c r="E25" s="50">
        <v>0.25</v>
      </c>
    </row>
    <row r="26" spans="1:5" ht="15" thickBot="1">
      <c r="A26" s="40"/>
      <c r="B26" s="40" t="s">
        <v>118</v>
      </c>
      <c r="C26" s="49">
        <v>54000</v>
      </c>
      <c r="D26" s="49">
        <v>8100</v>
      </c>
      <c r="E26" s="50">
        <v>0.15</v>
      </c>
    </row>
    <row r="27" spans="1:5" ht="15" thickBot="1">
      <c r="A27" s="40"/>
      <c r="B27" s="40" t="s">
        <v>119</v>
      </c>
      <c r="C27" s="49">
        <v>20000</v>
      </c>
      <c r="D27" s="49">
        <v>4000</v>
      </c>
      <c r="E27" s="50">
        <v>0.2</v>
      </c>
    </row>
    <row r="28" spans="1:5" ht="15" thickBot="1">
      <c r="A28" s="40"/>
      <c r="B28" s="40" t="s">
        <v>120</v>
      </c>
      <c r="C28" s="49">
        <v>48000</v>
      </c>
      <c r="D28" s="49">
        <v>12000</v>
      </c>
      <c r="E28" s="50">
        <v>0.25</v>
      </c>
    </row>
    <row r="29" spans="1:5" ht="15" thickBot="1">
      <c r="A29" s="40"/>
      <c r="B29" s="40" t="s">
        <v>121</v>
      </c>
      <c r="C29" s="49">
        <v>80000</v>
      </c>
      <c r="D29" s="49">
        <v>12000</v>
      </c>
      <c r="E29" s="50">
        <v>0.15</v>
      </c>
    </row>
    <row r="30" spans="1:5" ht="15" thickBot="1">
      <c r="A30" s="40"/>
      <c r="B30" s="40" t="s">
        <v>122</v>
      </c>
      <c r="C30" s="49">
        <v>12000</v>
      </c>
      <c r="D30" s="49">
        <v>2400</v>
      </c>
      <c r="E30" s="50">
        <v>0.2</v>
      </c>
    </row>
    <row r="31" spans="1:5" ht="15" thickBot="1">
      <c r="A31" s="40"/>
      <c r="B31" s="40" t="s">
        <v>123</v>
      </c>
      <c r="C31" s="49">
        <v>50000</v>
      </c>
      <c r="D31" s="49">
        <v>12500</v>
      </c>
      <c r="E31" s="50">
        <v>0.25</v>
      </c>
    </row>
    <row r="32" spans="1:5" ht="15" thickBot="1">
      <c r="A32" s="40"/>
      <c r="B32" s="40" t="s">
        <v>124</v>
      </c>
      <c r="C32" s="49">
        <v>20000</v>
      </c>
      <c r="D32" s="49">
        <v>3000</v>
      </c>
      <c r="E32" s="50">
        <v>0.15</v>
      </c>
    </row>
    <row r="33" spans="1:5" ht="15" thickBot="1">
      <c r="A33" s="40"/>
      <c r="B33" s="40" t="s">
        <v>125</v>
      </c>
      <c r="C33" s="49">
        <v>9000</v>
      </c>
      <c r="D33" s="49">
        <v>1800</v>
      </c>
      <c r="E33" s="50">
        <v>0.2</v>
      </c>
    </row>
    <row r="34" spans="1:5" ht="15" thickBot="1">
      <c r="A34" s="40"/>
      <c r="B34" s="40" t="s">
        <v>126</v>
      </c>
      <c r="C34" s="49">
        <v>45000</v>
      </c>
      <c r="D34" s="49">
        <v>11250</v>
      </c>
      <c r="E34" s="50">
        <v>0.25</v>
      </c>
    </row>
    <row r="35" spans="1:5" ht="15" thickBot="1">
      <c r="A35" s="40" t="s">
        <v>188</v>
      </c>
      <c r="B35" s="40"/>
      <c r="C35" s="49">
        <v>1795200</v>
      </c>
      <c r="D35" s="49">
        <v>335890</v>
      </c>
      <c r="E35" s="50">
        <v>6.1500000000000021</v>
      </c>
    </row>
    <row r="36" spans="1:5" ht="15" thickBot="1">
      <c r="A36" s="40" t="s">
        <v>90</v>
      </c>
      <c r="B36" s="40" t="s">
        <v>127</v>
      </c>
      <c r="C36" s="49">
        <v>25000</v>
      </c>
      <c r="D36" s="49">
        <v>3750</v>
      </c>
      <c r="E36" s="50">
        <v>0.15</v>
      </c>
    </row>
    <row r="37" spans="1:5" ht="15" thickBot="1">
      <c r="A37" s="40"/>
      <c r="B37" s="40" t="s">
        <v>128</v>
      </c>
      <c r="C37" s="49">
        <v>16000</v>
      </c>
      <c r="D37" s="49">
        <v>3200</v>
      </c>
      <c r="E37" s="50">
        <v>0.2</v>
      </c>
    </row>
    <row r="38" spans="1:5" ht="15" thickBot="1">
      <c r="A38" s="40"/>
      <c r="B38" s="40" t="s">
        <v>129</v>
      </c>
      <c r="C38" s="49">
        <v>60000</v>
      </c>
      <c r="D38" s="49">
        <v>15000</v>
      </c>
      <c r="E38" s="50">
        <v>0.25</v>
      </c>
    </row>
    <row r="39" spans="1:5" ht="15" thickBot="1">
      <c r="A39" s="40"/>
      <c r="B39" s="40" t="s">
        <v>130</v>
      </c>
      <c r="C39" s="49">
        <v>66000</v>
      </c>
      <c r="D39" s="49">
        <v>9900</v>
      </c>
      <c r="E39" s="50">
        <v>0.15</v>
      </c>
    </row>
    <row r="40" spans="1:5" ht="15" thickBot="1">
      <c r="A40" s="40"/>
      <c r="B40" s="40" t="s">
        <v>131</v>
      </c>
      <c r="C40" s="49">
        <v>15000</v>
      </c>
      <c r="D40" s="49">
        <v>3000</v>
      </c>
      <c r="E40" s="50">
        <v>0.2</v>
      </c>
    </row>
    <row r="41" spans="1:5" ht="15" thickBot="1">
      <c r="A41" s="40"/>
      <c r="B41" s="40" t="s">
        <v>132</v>
      </c>
      <c r="C41" s="49">
        <v>24000</v>
      </c>
      <c r="D41" s="49">
        <v>6000</v>
      </c>
      <c r="E41" s="50">
        <v>0.25</v>
      </c>
    </row>
    <row r="42" spans="1:5" ht="15" thickBot="1">
      <c r="A42" s="40"/>
      <c r="B42" s="40" t="s">
        <v>133</v>
      </c>
      <c r="C42" s="49">
        <v>60000</v>
      </c>
      <c r="D42" s="49">
        <v>9000</v>
      </c>
      <c r="E42" s="50">
        <v>0.15</v>
      </c>
    </row>
    <row r="43" spans="1:5" ht="15" thickBot="1">
      <c r="A43" s="40"/>
      <c r="B43" s="40" t="s">
        <v>134</v>
      </c>
      <c r="C43" s="49">
        <v>16000</v>
      </c>
      <c r="D43" s="49">
        <v>3200</v>
      </c>
      <c r="E43" s="50">
        <v>0.2</v>
      </c>
    </row>
    <row r="44" spans="1:5" ht="15" thickBot="1">
      <c r="A44" s="40"/>
      <c r="B44" s="40" t="s">
        <v>135</v>
      </c>
      <c r="C44" s="49">
        <v>40000</v>
      </c>
      <c r="D44" s="49">
        <v>10000</v>
      </c>
      <c r="E44" s="50">
        <v>0.25</v>
      </c>
    </row>
    <row r="45" spans="1:5" ht="15" thickBot="1">
      <c r="A45" s="40"/>
      <c r="B45" s="40" t="s">
        <v>136</v>
      </c>
      <c r="C45" s="49">
        <v>25000</v>
      </c>
      <c r="D45" s="49">
        <v>3750</v>
      </c>
      <c r="E45" s="50">
        <v>0.15</v>
      </c>
    </row>
    <row r="46" spans="1:5" ht="15" thickBot="1">
      <c r="A46" s="40"/>
      <c r="B46" s="40" t="s">
        <v>137</v>
      </c>
      <c r="C46" s="49">
        <v>18000</v>
      </c>
      <c r="D46" s="49">
        <v>3600</v>
      </c>
      <c r="E46" s="50">
        <v>0.2</v>
      </c>
    </row>
    <row r="47" spans="1:5" ht="15" thickBot="1">
      <c r="A47" s="40"/>
      <c r="B47" s="40" t="s">
        <v>138</v>
      </c>
      <c r="C47" s="49">
        <v>56000</v>
      </c>
      <c r="D47" s="49">
        <v>14000</v>
      </c>
      <c r="E47" s="50">
        <v>0.25</v>
      </c>
    </row>
    <row r="48" spans="1:5" ht="15" thickBot="1">
      <c r="A48" s="40"/>
      <c r="B48" s="40" t="s">
        <v>139</v>
      </c>
      <c r="C48" s="49">
        <v>70000</v>
      </c>
      <c r="D48" s="49">
        <v>10500</v>
      </c>
      <c r="E48" s="50">
        <v>0.15</v>
      </c>
    </row>
    <row r="49" spans="1:5" ht="15" thickBot="1">
      <c r="A49" s="40"/>
      <c r="B49" s="40" t="s">
        <v>140</v>
      </c>
      <c r="C49" s="49">
        <v>7000</v>
      </c>
      <c r="D49" s="49">
        <v>1400</v>
      </c>
      <c r="E49" s="50">
        <v>0.2</v>
      </c>
    </row>
    <row r="50" spans="1:5" ht="15" thickBot="1">
      <c r="A50" s="40"/>
      <c r="B50" s="40" t="s">
        <v>141</v>
      </c>
      <c r="C50" s="49">
        <v>90000</v>
      </c>
      <c r="D50" s="49">
        <v>22500</v>
      </c>
      <c r="E50" s="50">
        <v>0.25</v>
      </c>
    </row>
    <row r="51" spans="1:5" ht="15" thickBot="1">
      <c r="A51" s="40"/>
      <c r="B51" s="40" t="s">
        <v>142</v>
      </c>
      <c r="C51" s="49">
        <v>400000</v>
      </c>
      <c r="D51" s="49">
        <v>60000</v>
      </c>
      <c r="E51" s="50">
        <v>0.15</v>
      </c>
    </row>
    <row r="52" spans="1:5" ht="15" thickBot="1">
      <c r="A52" s="40"/>
      <c r="B52" s="40" t="s">
        <v>143</v>
      </c>
      <c r="C52" s="49">
        <v>42000</v>
      </c>
      <c r="D52" s="49">
        <v>8400</v>
      </c>
      <c r="E52" s="50">
        <v>0.2</v>
      </c>
    </row>
    <row r="53" spans="1:5" ht="15" thickBot="1">
      <c r="A53" s="40"/>
      <c r="B53" s="40" t="s">
        <v>144</v>
      </c>
      <c r="C53" s="49">
        <v>40000</v>
      </c>
      <c r="D53" s="49">
        <v>8000</v>
      </c>
      <c r="E53" s="50">
        <v>0.2</v>
      </c>
    </row>
    <row r="54" spans="1:5" ht="15" thickBot="1">
      <c r="A54" s="40"/>
      <c r="B54" s="40" t="s">
        <v>145</v>
      </c>
      <c r="C54" s="49">
        <v>450000</v>
      </c>
      <c r="D54" s="49">
        <v>67500</v>
      </c>
      <c r="E54" s="50">
        <v>0.15</v>
      </c>
    </row>
    <row r="55" spans="1:5" ht="15" thickBot="1">
      <c r="A55" s="40" t="s">
        <v>189</v>
      </c>
      <c r="B55" s="40"/>
      <c r="C55" s="49">
        <v>1520000</v>
      </c>
      <c r="D55" s="49">
        <v>262700</v>
      </c>
      <c r="E55" s="50">
        <v>3.7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63CBA-669A-42FE-8B80-ECF68925C7F2}">
  <dimension ref="A3:C6"/>
  <sheetViews>
    <sheetView workbookViewId="0">
      <selection activeCell="C6" sqref="C6"/>
    </sheetView>
  </sheetViews>
  <sheetFormatPr defaultRowHeight="14.4"/>
  <cols>
    <col min="1" max="1" width="10.5546875" bestFit="1" customWidth="1"/>
    <col min="2" max="2" width="10" bestFit="1" customWidth="1"/>
    <col min="3" max="3" width="11.5546875" bestFit="1" customWidth="1"/>
  </cols>
  <sheetData>
    <row r="3" spans="1:3">
      <c r="A3" s="22" t="s">
        <v>187</v>
      </c>
      <c r="B3" t="s">
        <v>37</v>
      </c>
      <c r="C3" t="s">
        <v>38</v>
      </c>
    </row>
    <row r="4" spans="1:3">
      <c r="A4" s="23" t="s">
        <v>89</v>
      </c>
      <c r="B4" s="55">
        <v>1795200</v>
      </c>
      <c r="C4" s="5">
        <v>335890</v>
      </c>
    </row>
    <row r="5" spans="1:3">
      <c r="A5" s="23" t="s">
        <v>90</v>
      </c>
      <c r="B5" s="55">
        <v>1520000</v>
      </c>
      <c r="C5" s="5">
        <v>262700</v>
      </c>
    </row>
    <row r="6" spans="1:3">
      <c r="A6" s="23" t="s">
        <v>88</v>
      </c>
      <c r="B6" s="55">
        <v>3315200</v>
      </c>
      <c r="C6" s="5">
        <v>598590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7F3C-DE95-47BB-B161-8BCC7AF3898D}">
  <dimension ref="A1:AH67"/>
  <sheetViews>
    <sheetView topLeftCell="A18" workbookViewId="0">
      <selection activeCell="V38" sqref="V38"/>
    </sheetView>
  </sheetViews>
  <sheetFormatPr defaultRowHeight="14.4"/>
  <cols>
    <col min="1" max="1" width="11.77734375" customWidth="1"/>
    <col min="2" max="2" width="6.5546875" bestFit="1" customWidth="1"/>
    <col min="3" max="3" width="12.77734375" customWidth="1"/>
    <col min="4" max="4" width="10" bestFit="1" customWidth="1"/>
    <col min="5" max="5" width="11.21875" customWidth="1"/>
    <col min="6" max="6" width="10.44140625" style="24" bestFit="1" customWidth="1"/>
    <col min="7" max="7" width="13.109375" bestFit="1" customWidth="1"/>
    <col min="8" max="8" width="10" style="21" bestFit="1" customWidth="1"/>
    <col min="9" max="9" width="11.109375" bestFit="1" customWidth="1"/>
    <col min="11" max="11" width="11.88671875" customWidth="1"/>
    <col min="14" max="14" width="13.88671875" customWidth="1"/>
    <col min="17" max="17" width="12.88671875" customWidth="1"/>
    <col min="18" max="18" width="10.77734375" customWidth="1"/>
    <col min="20" max="20" width="11.6640625" customWidth="1"/>
    <col min="21" max="21" width="12.77734375" customWidth="1"/>
  </cols>
  <sheetData>
    <row r="1" spans="1:34" ht="15" thickBot="1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41" t="s">
        <v>7</v>
      </c>
      <c r="I1" s="41" t="s">
        <v>27</v>
      </c>
      <c r="J1" s="9"/>
      <c r="K1" s="10" t="s">
        <v>28</v>
      </c>
      <c r="L1" s="10"/>
      <c r="M1" s="10"/>
      <c r="P1" s="10" t="s">
        <v>78</v>
      </c>
      <c r="U1" s="10" t="s">
        <v>79</v>
      </c>
    </row>
    <row r="2" spans="1:34" ht="43.8" customHeight="1" thickBot="1">
      <c r="A2" s="43">
        <v>45658</v>
      </c>
      <c r="B2" s="44" t="s">
        <v>8</v>
      </c>
      <c r="C2" s="44" t="str">
        <f>TRIM("Laptop")</f>
        <v>Laptop</v>
      </c>
      <c r="D2" s="44" t="s">
        <v>10</v>
      </c>
      <c r="E2" s="44">
        <v>5</v>
      </c>
      <c r="F2" s="45">
        <v>50000</v>
      </c>
      <c r="G2" s="44">
        <f>E2*F2</f>
        <v>250000</v>
      </c>
      <c r="H2" s="46">
        <f>G2*15/100</f>
        <v>37500</v>
      </c>
      <c r="I2" s="47">
        <f>H2/G2</f>
        <v>0.15</v>
      </c>
      <c r="J2" s="9"/>
      <c r="K2" s="32" t="s">
        <v>180</v>
      </c>
      <c r="L2" s="33" t="s">
        <v>29</v>
      </c>
      <c r="M2" s="34" t="s">
        <v>7</v>
      </c>
      <c r="N2" s="34" t="s">
        <v>27</v>
      </c>
      <c r="P2" s="19" t="s">
        <v>80</v>
      </c>
      <c r="Q2" s="20" t="s">
        <v>29</v>
      </c>
      <c r="R2" s="20" t="s">
        <v>7</v>
      </c>
      <c r="S2" s="20" t="s">
        <v>95</v>
      </c>
      <c r="V2" s="2" t="s">
        <v>10</v>
      </c>
      <c r="W2" s="2" t="s">
        <v>15</v>
      </c>
      <c r="X2" s="2" t="s">
        <v>18</v>
      </c>
      <c r="Z2" s="84" t="s">
        <v>192</v>
      </c>
      <c r="AA2" s="84"/>
      <c r="AB2" s="84"/>
      <c r="AC2" s="84"/>
    </row>
    <row r="3" spans="1:34" ht="29.4" thickBot="1">
      <c r="A3" s="43">
        <v>45659</v>
      </c>
      <c r="B3" s="44" t="s">
        <v>11</v>
      </c>
      <c r="C3" s="44" t="s">
        <v>12</v>
      </c>
      <c r="D3" s="44" t="s">
        <v>10</v>
      </c>
      <c r="E3" s="44">
        <v>10</v>
      </c>
      <c r="F3" s="45">
        <v>20000</v>
      </c>
      <c r="G3" s="44">
        <f t="shared" ref="G3:G52" si="0">E3*F3</f>
        <v>200000</v>
      </c>
      <c r="H3" s="46">
        <f>G3*15/100</f>
        <v>30000</v>
      </c>
      <c r="I3" s="47">
        <f t="shared" ref="I3:I52" si="1">H3/G3</f>
        <v>0.15</v>
      </c>
      <c r="J3" s="9" t="str">
        <f>TRIM(C3)</f>
        <v>Mobile</v>
      </c>
      <c r="K3" s="27" t="s">
        <v>8</v>
      </c>
      <c r="L3" s="26">
        <f>SUMIF(B2:B51,K3,G2:G51)</f>
        <v>701000</v>
      </c>
      <c r="M3" s="28">
        <f>SUMIF(B2:B51,K3,H2:H51)</f>
        <v>123750</v>
      </c>
      <c r="N3" s="35">
        <f>M3/L3*100</f>
        <v>17.653352353780313</v>
      </c>
      <c r="P3" s="1" t="s">
        <v>10</v>
      </c>
      <c r="Q3">
        <f>SUMIF(D2:D51,P3,G2:G51)</f>
        <v>2106000</v>
      </c>
      <c r="R3">
        <f>SUMIF(D2:D51,P3,H2:H51)</f>
        <v>315900</v>
      </c>
      <c r="S3" s="7">
        <f>SUMIF($D$2:$D$51,P3,$I$2:$I$51)</f>
        <v>2.6999999999999993</v>
      </c>
      <c r="U3" s="2" t="s">
        <v>8</v>
      </c>
      <c r="V3">
        <f t="shared" ref="V3:X6" si="2">SUMIFS($G$2:$G$51,$B$2:$B$51,$U3,$D$2:$D$51,V$2)</f>
        <v>451000</v>
      </c>
      <c r="W3">
        <f t="shared" si="2"/>
        <v>128000</v>
      </c>
      <c r="X3">
        <f t="shared" si="2"/>
        <v>122000</v>
      </c>
      <c r="Z3" s="88" cm="1">
        <f t="array" ref="Z3:AH15">_xlfn._xlws.FILTER(A1:I52,B1:B52="North")</f>
        <v>45658</v>
      </c>
      <c r="AA3" s="86" t="str">
        <v>North</v>
      </c>
      <c r="AB3" s="87" t="str">
        <v>Laptop</v>
      </c>
      <c r="AC3" t="str">
        <v>Electronics</v>
      </c>
      <c r="AD3">
        <v>5</v>
      </c>
      <c r="AE3">
        <v>50000</v>
      </c>
      <c r="AF3">
        <v>250000</v>
      </c>
      <c r="AG3">
        <v>37500</v>
      </c>
      <c r="AH3">
        <v>0.15</v>
      </c>
    </row>
    <row r="4" spans="1:34" ht="15" thickBot="1">
      <c r="A4" s="43">
        <v>45660</v>
      </c>
      <c r="B4" s="44" t="s">
        <v>13</v>
      </c>
      <c r="C4" s="44" t="s">
        <v>14</v>
      </c>
      <c r="D4" s="44" t="s">
        <v>15</v>
      </c>
      <c r="E4" s="44">
        <v>15</v>
      </c>
      <c r="F4" s="45">
        <v>2000</v>
      </c>
      <c r="G4" s="44">
        <f t="shared" si="0"/>
        <v>30000</v>
      </c>
      <c r="H4" s="46">
        <v>6000</v>
      </c>
      <c r="I4" s="47">
        <f t="shared" si="1"/>
        <v>0.2</v>
      </c>
      <c r="J4" s="9" t="str">
        <f>TRIM(C4)</f>
        <v>Shoes</v>
      </c>
      <c r="K4" s="27" t="s">
        <v>11</v>
      </c>
      <c r="L4" s="26">
        <f>SUMIF(B3:B52,K4,G3:G52)</f>
        <v>1486200</v>
      </c>
      <c r="M4" s="28">
        <f>SUMIF(B3:B52,K4,H3:H52)</f>
        <v>260540</v>
      </c>
      <c r="N4" s="28">
        <f t="shared" ref="N4:N6" si="3">M4/L4*100</f>
        <v>17.530614991252861</v>
      </c>
      <c r="P4" s="1" t="s">
        <v>15</v>
      </c>
      <c r="Q4">
        <f>SUMIF(D3:D52,P4,G3:G52)</f>
        <v>392200</v>
      </c>
      <c r="R4">
        <f>SUMIF(D3:D52,P4,H3:H52)</f>
        <v>78440</v>
      </c>
      <c r="S4" s="7">
        <f>SUMIF($D$2:$D$51,P4,$I$2:$I$51)</f>
        <v>3.4000000000000008</v>
      </c>
      <c r="U4" s="2" t="s">
        <v>11</v>
      </c>
      <c r="V4">
        <f t="shared" si="2"/>
        <v>874000</v>
      </c>
      <c r="W4">
        <f t="shared" si="2"/>
        <v>72200</v>
      </c>
      <c r="X4">
        <f t="shared" si="2"/>
        <v>340000</v>
      </c>
      <c r="Z4" s="88">
        <v>45662</v>
      </c>
      <c r="AA4" s="86" t="str">
        <v>North</v>
      </c>
      <c r="AB4" s="87" t="str">
        <v>Tablet</v>
      </c>
      <c r="AC4" t="str">
        <v>Electronics</v>
      </c>
      <c r="AD4">
        <v>8</v>
      </c>
      <c r="AE4">
        <v>15000</v>
      </c>
      <c r="AF4">
        <v>120000</v>
      </c>
      <c r="AG4">
        <v>18000</v>
      </c>
      <c r="AH4">
        <v>0.15</v>
      </c>
    </row>
    <row r="5" spans="1:34" ht="15" thickBot="1">
      <c r="A5" s="43">
        <v>45661</v>
      </c>
      <c r="B5" s="44" t="s">
        <v>16</v>
      </c>
      <c r="C5" s="44" t="s">
        <v>17</v>
      </c>
      <c r="D5" s="44" t="s">
        <v>18</v>
      </c>
      <c r="E5" s="44">
        <v>2</v>
      </c>
      <c r="F5" s="45">
        <v>30000</v>
      </c>
      <c r="G5" s="44">
        <f t="shared" si="0"/>
        <v>60000</v>
      </c>
      <c r="H5" s="46">
        <v>15000</v>
      </c>
      <c r="I5" s="47">
        <f t="shared" si="1"/>
        <v>0.25</v>
      </c>
      <c r="J5" s="9" t="str">
        <f>TRIM(C5)</f>
        <v>Sofa</v>
      </c>
      <c r="K5" s="27" t="s">
        <v>13</v>
      </c>
      <c r="L5" s="26">
        <f>SUMIF(B4:B53,K5,G4:G53)</f>
        <v>860000</v>
      </c>
      <c r="M5" s="28">
        <f>SUMIF(B4:B53,K5,H4:H53)</f>
        <v>148750</v>
      </c>
      <c r="N5" s="28">
        <f t="shared" si="3"/>
        <v>17.296511627906977</v>
      </c>
      <c r="P5" s="1" t="s">
        <v>18</v>
      </c>
      <c r="Q5">
        <f>SUMIF(D4:D53,P5,G4:G53)</f>
        <v>817000</v>
      </c>
      <c r="R5">
        <f>SUMIF(D4:D53,P5,H4:H53)</f>
        <v>204250</v>
      </c>
      <c r="S5" s="7">
        <f>SUMIF($D$2:$D$51,P5,$I$2:$I$51)</f>
        <v>3.75</v>
      </c>
      <c r="U5" s="2" t="s">
        <v>13</v>
      </c>
      <c r="V5">
        <f t="shared" si="2"/>
        <v>620000</v>
      </c>
      <c r="W5">
        <f t="shared" si="2"/>
        <v>85000</v>
      </c>
      <c r="X5">
        <f t="shared" si="2"/>
        <v>155000</v>
      </c>
      <c r="Z5" s="88">
        <v>45666</v>
      </c>
      <c r="AA5" s="86" t="str">
        <v>North</v>
      </c>
      <c r="AB5" s="87" t="str">
        <v>Jacket</v>
      </c>
      <c r="AC5" t="str">
        <v>Fashion</v>
      </c>
      <c r="AD5">
        <v>10</v>
      </c>
      <c r="AE5">
        <v>3500</v>
      </c>
      <c r="AF5">
        <v>35000</v>
      </c>
      <c r="AG5">
        <v>7000</v>
      </c>
      <c r="AH5">
        <v>0.2</v>
      </c>
    </row>
    <row r="6" spans="1:34" ht="15" thickBot="1">
      <c r="A6" s="43">
        <v>45662</v>
      </c>
      <c r="B6" s="44" t="s">
        <v>8</v>
      </c>
      <c r="C6" s="44" t="s">
        <v>19</v>
      </c>
      <c r="D6" s="44" t="s">
        <v>10</v>
      </c>
      <c r="E6" s="44">
        <v>8</v>
      </c>
      <c r="F6" s="45">
        <v>15000</v>
      </c>
      <c r="G6" s="44">
        <f t="shared" si="0"/>
        <v>120000</v>
      </c>
      <c r="H6" s="46">
        <v>18000</v>
      </c>
      <c r="I6" s="47">
        <f t="shared" si="1"/>
        <v>0.15</v>
      </c>
      <c r="J6" s="9" t="str">
        <f>TRIM(C6)</f>
        <v>Tablet</v>
      </c>
      <c r="K6" s="29" t="s">
        <v>16</v>
      </c>
      <c r="L6" s="30">
        <f>SUMIF(B5:B54,K6,G5:G54)</f>
        <v>468000</v>
      </c>
      <c r="M6" s="31">
        <f>SUMIF(B5:B54,K6,H5:H54)</f>
        <v>95550</v>
      </c>
      <c r="N6" s="28">
        <f t="shared" si="3"/>
        <v>20.416666666666668</v>
      </c>
      <c r="U6" s="2" t="s">
        <v>16</v>
      </c>
      <c r="V6">
        <f t="shared" si="2"/>
        <v>161000</v>
      </c>
      <c r="W6">
        <f t="shared" si="2"/>
        <v>107000</v>
      </c>
      <c r="X6">
        <f t="shared" si="2"/>
        <v>200000</v>
      </c>
      <c r="Z6" s="88">
        <v>45670</v>
      </c>
      <c r="AA6" s="86" t="str">
        <v>North</v>
      </c>
      <c r="AB6" s="87" t="str">
        <v>Table</v>
      </c>
      <c r="AC6" t="str">
        <v>Furniture</v>
      </c>
      <c r="AD6">
        <v>5</v>
      </c>
      <c r="AE6">
        <v>10000</v>
      </c>
      <c r="AF6">
        <v>50000</v>
      </c>
      <c r="AG6">
        <v>12500</v>
      </c>
      <c r="AH6">
        <v>0.25</v>
      </c>
    </row>
    <row r="7" spans="1:34" ht="15" thickBot="1">
      <c r="A7" s="43">
        <v>45663</v>
      </c>
      <c r="B7" s="44" t="s">
        <v>11</v>
      </c>
      <c r="C7" s="44" t="s">
        <v>20</v>
      </c>
      <c r="D7" s="44" t="s">
        <v>15</v>
      </c>
      <c r="E7" s="44">
        <v>20</v>
      </c>
      <c r="F7" s="45">
        <v>1000</v>
      </c>
      <c r="G7" s="44">
        <f t="shared" si="0"/>
        <v>20000</v>
      </c>
      <c r="H7" s="46">
        <v>4000</v>
      </c>
      <c r="I7" s="47">
        <f t="shared" si="1"/>
        <v>0.2</v>
      </c>
      <c r="J7" s="9" t="str">
        <f>TRIM(C7)</f>
        <v>Shirt</v>
      </c>
      <c r="Z7">
        <v>45674</v>
      </c>
      <c r="AA7" s="86" t="str">
        <v>North</v>
      </c>
      <c r="AB7" s="87" t="str">
        <v>Speaker</v>
      </c>
      <c r="AC7" t="str">
        <v>Electronics</v>
      </c>
      <c r="AD7">
        <v>9</v>
      </c>
      <c r="AE7">
        <v>4000</v>
      </c>
      <c r="AF7">
        <v>36000</v>
      </c>
      <c r="AG7">
        <v>5400</v>
      </c>
      <c r="AH7">
        <v>0.15</v>
      </c>
    </row>
    <row r="8" spans="1:34" ht="15" thickBot="1">
      <c r="A8" s="43">
        <v>45664</v>
      </c>
      <c r="B8" s="44" t="s">
        <v>13</v>
      </c>
      <c r="C8" s="44" t="s">
        <v>21</v>
      </c>
      <c r="D8" s="44" t="s">
        <v>18</v>
      </c>
      <c r="E8" s="44">
        <v>6</v>
      </c>
      <c r="F8" s="45">
        <v>5000</v>
      </c>
      <c r="G8" s="44">
        <f t="shared" si="0"/>
        <v>30000</v>
      </c>
      <c r="H8" s="46">
        <v>7500</v>
      </c>
      <c r="I8" s="47">
        <f t="shared" si="1"/>
        <v>0.25</v>
      </c>
      <c r="J8" s="9" t="str">
        <f>TRIM(C8)</f>
        <v>Chair</v>
      </c>
      <c r="K8" s="8">
        <f>AVERAGE(I2:I51)</f>
        <v>0.19700000000000004</v>
      </c>
      <c r="Z8">
        <v>45678</v>
      </c>
      <c r="AA8" s="86" t="str">
        <v>North</v>
      </c>
      <c r="AB8" s="87" t="str">
        <v>Watch</v>
      </c>
      <c r="AC8" t="str">
        <v>Fashion</v>
      </c>
      <c r="AD8">
        <v>6</v>
      </c>
      <c r="AE8">
        <v>5000</v>
      </c>
      <c r="AF8">
        <v>30000</v>
      </c>
      <c r="AG8">
        <v>6000</v>
      </c>
      <c r="AH8">
        <v>0.2</v>
      </c>
    </row>
    <row r="9" spans="1:34" ht="15" thickBot="1">
      <c r="A9" s="43">
        <v>45665</v>
      </c>
      <c r="B9" s="44" t="s">
        <v>16</v>
      </c>
      <c r="C9" s="44" t="s">
        <v>22</v>
      </c>
      <c r="D9" s="44" t="s">
        <v>10</v>
      </c>
      <c r="E9" s="44">
        <v>12</v>
      </c>
      <c r="F9" s="45">
        <v>3000</v>
      </c>
      <c r="G9" s="44">
        <f t="shared" si="0"/>
        <v>36000</v>
      </c>
      <c r="H9" s="46">
        <v>5400</v>
      </c>
      <c r="I9" s="47">
        <f t="shared" si="1"/>
        <v>0.15</v>
      </c>
      <c r="J9" s="9" t="str">
        <f>TRIM(C9)</f>
        <v>Headphones</v>
      </c>
      <c r="N9" s="54" t="s">
        <v>81</v>
      </c>
      <c r="O9" s="54"/>
      <c r="P9" s="54"/>
      <c r="S9" t="s">
        <v>92</v>
      </c>
      <c r="T9" t="s">
        <v>87</v>
      </c>
      <c r="U9" t="s">
        <v>91</v>
      </c>
      <c r="Z9">
        <v>45682</v>
      </c>
      <c r="AA9" s="86" t="str">
        <v>North</v>
      </c>
      <c r="AB9" s="87" t="str">
        <v>Desk</v>
      </c>
      <c r="AC9" t="str">
        <v>Furniture</v>
      </c>
      <c r="AD9">
        <v>4</v>
      </c>
      <c r="AE9">
        <v>12000</v>
      </c>
      <c r="AF9">
        <v>48000</v>
      </c>
      <c r="AG9">
        <v>12000</v>
      </c>
      <c r="AH9">
        <v>0.25</v>
      </c>
    </row>
    <row r="10" spans="1:34" ht="15" thickBot="1">
      <c r="A10" s="43">
        <v>45666</v>
      </c>
      <c r="B10" s="44" t="s">
        <v>8</v>
      </c>
      <c r="C10" s="44" t="s">
        <v>23</v>
      </c>
      <c r="D10" s="44" t="s">
        <v>15</v>
      </c>
      <c r="E10" s="44">
        <v>10</v>
      </c>
      <c r="F10" s="45">
        <v>3500</v>
      </c>
      <c r="G10" s="44">
        <f t="shared" si="0"/>
        <v>35000</v>
      </c>
      <c r="H10" s="46">
        <v>7000</v>
      </c>
      <c r="I10" s="47">
        <f t="shared" si="1"/>
        <v>0.2</v>
      </c>
      <c r="J10" s="9" t="str">
        <f>TRIM(C10)</f>
        <v>Jacket</v>
      </c>
      <c r="K10" t="s">
        <v>2</v>
      </c>
      <c r="L10" t="s">
        <v>29</v>
      </c>
      <c r="O10" t="s">
        <v>6</v>
      </c>
      <c r="P10" t="s">
        <v>2</v>
      </c>
      <c r="S10" s="43">
        <v>45662</v>
      </c>
      <c r="T10">
        <v>2429000</v>
      </c>
      <c r="Z10">
        <v>45686</v>
      </c>
      <c r="AA10" s="86" t="str">
        <v>North</v>
      </c>
      <c r="AB10" s="87" t="str">
        <v>Mouse</v>
      </c>
      <c r="AC10" t="str">
        <v>Electronics</v>
      </c>
      <c r="AD10">
        <v>20</v>
      </c>
      <c r="AE10">
        <v>1000</v>
      </c>
      <c r="AF10">
        <v>20000</v>
      </c>
      <c r="AG10">
        <v>3000</v>
      </c>
      <c r="AH10">
        <v>0.15</v>
      </c>
    </row>
    <row r="11" spans="1:34" ht="15" thickBot="1">
      <c r="A11" s="43">
        <v>45667</v>
      </c>
      <c r="B11" s="44" t="s">
        <v>11</v>
      </c>
      <c r="C11" s="44" t="s">
        <v>24</v>
      </c>
      <c r="D11" s="44" t="s">
        <v>18</v>
      </c>
      <c r="E11" s="44">
        <v>3</v>
      </c>
      <c r="F11" s="45">
        <v>40000</v>
      </c>
      <c r="G11" s="44">
        <f t="shared" si="0"/>
        <v>120000</v>
      </c>
      <c r="H11" s="46">
        <v>30000</v>
      </c>
      <c r="I11" s="47">
        <f t="shared" si="1"/>
        <v>0.25</v>
      </c>
      <c r="J11" s="9" t="str">
        <f>TRIM(C11)</f>
        <v>Bed</v>
      </c>
      <c r="K11" s="1" t="s">
        <v>9</v>
      </c>
      <c r="L11">
        <f>SUMIFS($G$2:$G$51,$C$2:$C$51,$K11)</f>
        <v>700000</v>
      </c>
      <c r="M11">
        <v>80000</v>
      </c>
      <c r="N11">
        <v>1</v>
      </c>
      <c r="O11">
        <f>LARGE($L$11:$L$22,N11)</f>
        <v>700000</v>
      </c>
      <c r="P11" t="str">
        <f>INDEX($K$11:$K$22,MATCH($O11,$L$11:$L$22,0))</f>
        <v>Laptop</v>
      </c>
      <c r="S11" t="s">
        <v>90</v>
      </c>
      <c r="T11">
        <v>1864500</v>
      </c>
      <c r="U11">
        <v>-564500</v>
      </c>
      <c r="Z11">
        <v>45690</v>
      </c>
      <c r="AA11" s="86" t="str">
        <v>North</v>
      </c>
      <c r="AB11" s="87" t="str">
        <v>Kurta</v>
      </c>
      <c r="AC11" t="str">
        <v>Fashion</v>
      </c>
      <c r="AD11">
        <v>8</v>
      </c>
      <c r="AE11">
        <v>2000</v>
      </c>
      <c r="AF11">
        <v>16000</v>
      </c>
      <c r="AG11">
        <v>3200</v>
      </c>
      <c r="AH11">
        <v>0.2</v>
      </c>
    </row>
    <row r="12" spans="1:34" ht="15" thickBot="1">
      <c r="A12" s="43">
        <v>45668</v>
      </c>
      <c r="B12" s="44" t="s">
        <v>13</v>
      </c>
      <c r="C12" s="44" t="s">
        <v>146</v>
      </c>
      <c r="D12" s="44" t="s">
        <v>10</v>
      </c>
      <c r="E12" s="44">
        <v>4</v>
      </c>
      <c r="F12" s="45">
        <v>25000</v>
      </c>
      <c r="G12" s="44">
        <f t="shared" si="0"/>
        <v>100000</v>
      </c>
      <c r="H12" s="46">
        <v>15000</v>
      </c>
      <c r="I12" s="47">
        <f t="shared" si="1"/>
        <v>0.15</v>
      </c>
      <c r="J12" s="9" t="str">
        <f>TRIM(C12)</f>
        <v>Camera</v>
      </c>
      <c r="K12" s="1" t="s">
        <v>12</v>
      </c>
      <c r="L12">
        <f>SUMIFS($G$2:$G$51,$C$2:$C$51,$K12)</f>
        <v>600000</v>
      </c>
      <c r="M12">
        <v>40000</v>
      </c>
      <c r="N12">
        <v>2</v>
      </c>
      <c r="O12">
        <f>LARGE($L$11:$L$22,N12)</f>
        <v>600000</v>
      </c>
      <c r="P12" t="str">
        <f>INDEX($K$11:$K$22,MATCH($O12,$L$11:$L$22,0))</f>
        <v>Mobile</v>
      </c>
      <c r="Z12">
        <v>45694</v>
      </c>
      <c r="AA12" s="86" t="str">
        <v>North</v>
      </c>
      <c r="AB12" s="87" t="str">
        <v>Lamp</v>
      </c>
      <c r="AC12" t="str">
        <v>Furniture</v>
      </c>
      <c r="AD12">
        <v>6</v>
      </c>
      <c r="AE12">
        <v>4000</v>
      </c>
      <c r="AF12">
        <v>24000</v>
      </c>
      <c r="AG12">
        <v>6000</v>
      </c>
      <c r="AH12">
        <v>0.25</v>
      </c>
    </row>
    <row r="13" spans="1:34" ht="15" thickBot="1">
      <c r="A13" s="43">
        <v>45669</v>
      </c>
      <c r="B13" s="44" t="s">
        <v>16</v>
      </c>
      <c r="C13" s="44" t="s">
        <v>147</v>
      </c>
      <c r="D13" s="44" t="s">
        <v>15</v>
      </c>
      <c r="E13" s="44">
        <v>12</v>
      </c>
      <c r="F13" s="45">
        <v>2500</v>
      </c>
      <c r="G13" s="44">
        <f t="shared" si="0"/>
        <v>30000</v>
      </c>
      <c r="H13" s="46">
        <v>6000</v>
      </c>
      <c r="I13" s="47">
        <f t="shared" si="1"/>
        <v>0.2</v>
      </c>
      <c r="J13" s="9" t="str">
        <f>TRIM(C13)</f>
        <v>Dress</v>
      </c>
      <c r="K13" s="1" t="s">
        <v>14</v>
      </c>
      <c r="L13">
        <f>SUMIFS($G$2:$G$51,$C$2:$C$51,$K13)</f>
        <v>70000</v>
      </c>
      <c r="M13">
        <v>2000</v>
      </c>
      <c r="N13">
        <v>3</v>
      </c>
      <c r="O13">
        <f>LARGE($L$11:$L$22,N13)</f>
        <v>210000</v>
      </c>
      <c r="P13" t="str">
        <f>INDEX($K$11:$K$22,MATCH($O13,$L$11:$L$22,0))</f>
        <v>Bed</v>
      </c>
      <c r="T13">
        <f ca="1">SUMIF(A1:I51,S10,G2:G51)</f>
        <v>20000</v>
      </c>
      <c r="Z13">
        <v>45698</v>
      </c>
      <c r="AA13" s="86" t="str">
        <v>North</v>
      </c>
      <c r="AB13" s="87" t="str">
        <v>Earbuds</v>
      </c>
      <c r="AC13" t="str">
        <v>Electronics</v>
      </c>
      <c r="AD13">
        <v>10</v>
      </c>
      <c r="AE13">
        <v>2500</v>
      </c>
      <c r="AF13">
        <v>25000</v>
      </c>
      <c r="AG13">
        <v>3750</v>
      </c>
      <c r="AH13">
        <v>0.15</v>
      </c>
    </row>
    <row r="14" spans="1:34" ht="15" thickBot="1">
      <c r="A14" s="43">
        <v>45670</v>
      </c>
      <c r="B14" s="44" t="s">
        <v>8</v>
      </c>
      <c r="C14" s="44" t="s">
        <v>148</v>
      </c>
      <c r="D14" s="44" t="s">
        <v>18</v>
      </c>
      <c r="E14" s="44">
        <v>5</v>
      </c>
      <c r="F14" s="45">
        <v>10000</v>
      </c>
      <c r="G14" s="44">
        <f t="shared" si="0"/>
        <v>50000</v>
      </c>
      <c r="H14" s="46">
        <v>12500</v>
      </c>
      <c r="I14" s="47">
        <f t="shared" si="1"/>
        <v>0.25</v>
      </c>
      <c r="J14" s="9" t="str">
        <f>TRIM(C14)</f>
        <v>Table</v>
      </c>
      <c r="K14" s="1" t="s">
        <v>17</v>
      </c>
      <c r="L14">
        <f>SUMIFS($G$2:$G$51,$C$2:$C$51,$K14)</f>
        <v>60000</v>
      </c>
      <c r="M14">
        <v>45000</v>
      </c>
      <c r="N14">
        <v>4</v>
      </c>
      <c r="O14">
        <f>LARGE($L$11:$L$22,N14)</f>
        <v>120000</v>
      </c>
      <c r="P14" t="str">
        <f>INDEX($K$11:$K$22,MATCH($O14,$L$11:$L$22,0))</f>
        <v>Tablet</v>
      </c>
      <c r="Z14">
        <v>45702</v>
      </c>
      <c r="AA14" s="86" t="str">
        <v>North</v>
      </c>
      <c r="AB14" s="87" t="str">
        <v>Tie</v>
      </c>
      <c r="AC14" t="str">
        <v>Fashion</v>
      </c>
      <c r="AD14">
        <v>10</v>
      </c>
      <c r="AE14">
        <v>700</v>
      </c>
      <c r="AF14">
        <v>7000</v>
      </c>
      <c r="AG14">
        <v>1400</v>
      </c>
      <c r="AH14">
        <v>0.2</v>
      </c>
    </row>
    <row r="15" spans="1:34" ht="15" thickBot="1">
      <c r="A15" s="43">
        <v>45671</v>
      </c>
      <c r="B15" s="44" t="s">
        <v>11</v>
      </c>
      <c r="C15" s="44" t="s">
        <v>149</v>
      </c>
      <c r="D15" s="44" t="s">
        <v>10</v>
      </c>
      <c r="E15" s="44">
        <v>7</v>
      </c>
      <c r="F15" s="45">
        <v>12000</v>
      </c>
      <c r="G15" s="44">
        <f t="shared" si="0"/>
        <v>84000</v>
      </c>
      <c r="H15" s="46">
        <v>12600</v>
      </c>
      <c r="I15" s="47">
        <f t="shared" si="1"/>
        <v>0.15</v>
      </c>
      <c r="J15" s="9" t="str">
        <f>TRIM(C15)</f>
        <v>Monitor</v>
      </c>
      <c r="K15" s="1" t="s">
        <v>19</v>
      </c>
      <c r="L15">
        <f>SUMIFS($G$2:$G$51,$C$2:$C$51,$K15)</f>
        <v>120000</v>
      </c>
      <c r="M15">
        <v>25000</v>
      </c>
      <c r="N15">
        <v>5</v>
      </c>
      <c r="O15">
        <f>LARGE($L$11:$L$22,N15)</f>
        <v>80000</v>
      </c>
      <c r="P15" t="str">
        <f>INDEX($K$11:$K$22,MATCH($O15,$L$11:$L$22,0))</f>
        <v>TV</v>
      </c>
      <c r="Q15">
        <f>LEN(C3)</f>
        <v>6</v>
      </c>
      <c r="Z15">
        <v>45706</v>
      </c>
      <c r="AA15" s="86" t="str">
        <v>North</v>
      </c>
      <c r="AB15" s="87" t="str">
        <v>Shoes</v>
      </c>
      <c r="AC15" t="str">
        <v>Fashion</v>
      </c>
      <c r="AD15">
        <v>20</v>
      </c>
      <c r="AE15">
        <v>2000</v>
      </c>
      <c r="AF15">
        <v>40000</v>
      </c>
      <c r="AG15">
        <v>8000</v>
      </c>
      <c r="AH15">
        <v>0.2</v>
      </c>
    </row>
    <row r="16" spans="1:34" ht="15" thickBot="1">
      <c r="A16" s="43">
        <v>45672</v>
      </c>
      <c r="B16" s="44" t="s">
        <v>13</v>
      </c>
      <c r="C16" s="44" t="s">
        <v>150</v>
      </c>
      <c r="D16" s="44" t="s">
        <v>15</v>
      </c>
      <c r="E16" s="44">
        <v>18</v>
      </c>
      <c r="F16" s="45">
        <v>1500</v>
      </c>
      <c r="G16" s="44">
        <f t="shared" si="0"/>
        <v>27000</v>
      </c>
      <c r="H16" s="46">
        <v>5400</v>
      </c>
      <c r="I16" s="47">
        <f t="shared" si="1"/>
        <v>0.2</v>
      </c>
      <c r="J16" s="9" t="str">
        <f>TRIM(C16)</f>
        <v>Jeans</v>
      </c>
      <c r="K16" s="1" t="s">
        <v>20</v>
      </c>
      <c r="L16">
        <f>SUMIFS($G$2:$G$51,$C$2:$C$51,$K16)</f>
        <v>20000</v>
      </c>
      <c r="M16">
        <v>1000</v>
      </c>
      <c r="Q16">
        <f t="shared" ref="Q16:Q21" si="4">LEN(C4)</f>
        <v>5</v>
      </c>
      <c r="AA16" s="86"/>
      <c r="AB16" s="87"/>
    </row>
    <row r="17" spans="1:30" ht="15" thickBot="1">
      <c r="A17" s="43">
        <v>45673</v>
      </c>
      <c r="B17" s="44" t="s">
        <v>16</v>
      </c>
      <c r="C17" s="44" t="s">
        <v>151</v>
      </c>
      <c r="D17" s="44" t="s">
        <v>18</v>
      </c>
      <c r="E17" s="44">
        <v>2</v>
      </c>
      <c r="F17" s="45">
        <v>25000</v>
      </c>
      <c r="G17" s="44">
        <f t="shared" si="0"/>
        <v>50000</v>
      </c>
      <c r="H17" s="46">
        <v>12500</v>
      </c>
      <c r="I17" s="47">
        <f t="shared" si="1"/>
        <v>0.25</v>
      </c>
      <c r="J17" s="9" t="str">
        <f>TRIM(C17)</f>
        <v>Cupboard</v>
      </c>
      <c r="K17" s="1" t="s">
        <v>21</v>
      </c>
      <c r="L17">
        <f>SUMIFS($G$2:$G$51,$C$2:$C$51,$K17)</f>
        <v>30000</v>
      </c>
      <c r="M17">
        <v>1000</v>
      </c>
      <c r="Q17">
        <f t="shared" si="4"/>
        <v>4</v>
      </c>
      <c r="AA17" s="86"/>
      <c r="AB17" s="87"/>
    </row>
    <row r="18" spans="1:30" ht="13.8" customHeight="1" thickBot="1">
      <c r="A18" s="43">
        <v>45674</v>
      </c>
      <c r="B18" s="44" t="s">
        <v>8</v>
      </c>
      <c r="C18" s="44" t="s">
        <v>152</v>
      </c>
      <c r="D18" s="44" t="s">
        <v>10</v>
      </c>
      <c r="E18" s="44">
        <v>9</v>
      </c>
      <c r="F18" s="45">
        <v>4000</v>
      </c>
      <c r="G18" s="44">
        <f t="shared" si="0"/>
        <v>36000</v>
      </c>
      <c r="H18" s="46">
        <v>5400</v>
      </c>
      <c r="I18" s="47">
        <f t="shared" si="1"/>
        <v>0.15</v>
      </c>
      <c r="J18" s="9" t="str">
        <f>TRIM(C18)</f>
        <v>Speaker</v>
      </c>
      <c r="K18" s="1" t="s">
        <v>22</v>
      </c>
      <c r="L18">
        <f>SUMIFS($G$2:$G$51,$C$2:$C$51,$K18)</f>
        <v>36000</v>
      </c>
      <c r="M18">
        <v>2000</v>
      </c>
      <c r="Q18">
        <f t="shared" si="4"/>
        <v>6</v>
      </c>
      <c r="AA18" s="86"/>
      <c r="AB18" s="87"/>
    </row>
    <row r="19" spans="1:30" ht="15" thickBot="1">
      <c r="A19" s="43">
        <v>45675</v>
      </c>
      <c r="B19" s="44" t="s">
        <v>11</v>
      </c>
      <c r="C19" s="44" t="s">
        <v>153</v>
      </c>
      <c r="D19" s="44" t="s">
        <v>15</v>
      </c>
      <c r="E19" s="44">
        <v>14</v>
      </c>
      <c r="F19" s="45">
        <v>1800</v>
      </c>
      <c r="G19" s="44">
        <f t="shared" si="0"/>
        <v>25200</v>
      </c>
      <c r="H19" s="46">
        <v>5040</v>
      </c>
      <c r="I19" s="47">
        <f t="shared" si="1"/>
        <v>0.2</v>
      </c>
      <c r="J19" s="9" t="str">
        <f>TRIM(C19)</f>
        <v>Skirt</v>
      </c>
      <c r="K19" s="1" t="s">
        <v>23</v>
      </c>
      <c r="L19">
        <f>SUMIFS($G$2:$G$51,$C$2:$C$51,$K19)</f>
        <v>77000</v>
      </c>
      <c r="M19">
        <v>1500</v>
      </c>
      <c r="Q19">
        <f t="shared" si="4"/>
        <v>5</v>
      </c>
      <c r="X19" t="s">
        <v>193</v>
      </c>
      <c r="AA19" s="86"/>
      <c r="AB19" s="87"/>
    </row>
    <row r="20" spans="1:30" ht="15" thickBot="1">
      <c r="A20" s="43">
        <v>45676</v>
      </c>
      <c r="B20" s="44" t="s">
        <v>13</v>
      </c>
      <c r="C20" s="44" t="s">
        <v>154</v>
      </c>
      <c r="D20" s="44" t="s">
        <v>18</v>
      </c>
      <c r="E20" s="44">
        <v>8</v>
      </c>
      <c r="F20" s="45">
        <v>3000</v>
      </c>
      <c r="G20" s="44">
        <f t="shared" si="0"/>
        <v>24000</v>
      </c>
      <c r="H20" s="46">
        <v>6000</v>
      </c>
      <c r="I20" s="47">
        <f t="shared" si="1"/>
        <v>0.25</v>
      </c>
      <c r="J20" s="9" t="str">
        <f>TRIM(C20)</f>
        <v>Stool</v>
      </c>
      <c r="K20" s="1" t="s">
        <v>24</v>
      </c>
      <c r="L20">
        <f>SUMIFS($G$2:$G$51,$C$2:$C$51,$K20)</f>
        <v>210000</v>
      </c>
      <c r="M20">
        <v>45000</v>
      </c>
      <c r="Q20">
        <f t="shared" si="4"/>
        <v>5</v>
      </c>
      <c r="R20" s="7"/>
      <c r="AA20" s="86"/>
      <c r="AB20" s="87"/>
    </row>
    <row r="21" spans="1:30" ht="15" thickBot="1">
      <c r="A21" s="43">
        <v>45677</v>
      </c>
      <c r="B21" s="44" t="s">
        <v>16</v>
      </c>
      <c r="C21" s="44" t="s">
        <v>155</v>
      </c>
      <c r="D21" s="44" t="s">
        <v>10</v>
      </c>
      <c r="E21" s="44">
        <v>15</v>
      </c>
      <c r="F21" s="45">
        <v>2000</v>
      </c>
      <c r="G21" s="44">
        <f t="shared" si="0"/>
        <v>30000</v>
      </c>
      <c r="H21" s="46">
        <v>4500</v>
      </c>
      <c r="I21" s="47">
        <f t="shared" si="1"/>
        <v>0.15</v>
      </c>
      <c r="J21" s="9" t="str">
        <f>TRIM(C21)</f>
        <v>Keyboard</v>
      </c>
      <c r="K21" s="1" t="s">
        <v>25</v>
      </c>
      <c r="L21">
        <f>SUMIFS($G$2:$G$51,$C$2:$C$51,$K21)</f>
        <v>30000</v>
      </c>
      <c r="M21">
        <v>4000</v>
      </c>
      <c r="Q21">
        <f t="shared" si="4"/>
        <v>10</v>
      </c>
      <c r="R21">
        <f>(5*50000)-250000</f>
        <v>0</v>
      </c>
      <c r="AA21" s="86"/>
      <c r="AB21" s="87"/>
    </row>
    <row r="22" spans="1:30" ht="15" thickBot="1">
      <c r="A22" s="43">
        <v>45678</v>
      </c>
      <c r="B22" s="44" t="s">
        <v>8</v>
      </c>
      <c r="C22" s="44" t="s">
        <v>25</v>
      </c>
      <c r="D22" s="44" t="s">
        <v>15</v>
      </c>
      <c r="E22" s="44">
        <v>6</v>
      </c>
      <c r="F22" s="45">
        <v>5000</v>
      </c>
      <c r="G22" s="44">
        <f t="shared" si="0"/>
        <v>30000</v>
      </c>
      <c r="H22" s="46">
        <v>6000</v>
      </c>
      <c r="I22" s="47">
        <f t="shared" si="1"/>
        <v>0.2</v>
      </c>
      <c r="J22" s="9" t="str">
        <f>TRIM(C22)</f>
        <v>Watch</v>
      </c>
      <c r="K22" s="1" t="s">
        <v>26</v>
      </c>
      <c r="L22">
        <f>SUMIFS($G$2:$G$51,$C$2:$C$51,$K22)</f>
        <v>80000</v>
      </c>
      <c r="M22">
        <v>50000</v>
      </c>
      <c r="AA22" s="86"/>
      <c r="AB22" s="87"/>
    </row>
    <row r="23" spans="1:30" ht="16.2" customHeight="1" thickBot="1">
      <c r="A23" s="43">
        <v>45679</v>
      </c>
      <c r="B23" s="44" t="s">
        <v>11</v>
      </c>
      <c r="C23" s="44" t="s">
        <v>156</v>
      </c>
      <c r="D23" s="44" t="s">
        <v>18</v>
      </c>
      <c r="E23" s="44">
        <v>2</v>
      </c>
      <c r="F23" s="45">
        <v>35000</v>
      </c>
      <c r="G23" s="44">
        <f t="shared" si="0"/>
        <v>70000</v>
      </c>
      <c r="H23" s="46">
        <v>17500</v>
      </c>
      <c r="I23" s="47">
        <f t="shared" si="1"/>
        <v>0.25</v>
      </c>
      <c r="J23" s="9" t="str">
        <f>TRIM(C23)</f>
        <v>Wardrobe</v>
      </c>
      <c r="V23" cm="1">
        <f t="array" ref="V23:AD35">_xlfn._xlws.SORT(_xlfn.ANCHORARRAY(Z3),7,-1)</f>
        <v>45658</v>
      </c>
      <c r="W23" t="str">
        <v>North</v>
      </c>
      <c r="X23" t="str">
        <v>Laptop</v>
      </c>
      <c r="Y23" t="str">
        <v>Electronics</v>
      </c>
      <c r="Z23">
        <v>5</v>
      </c>
      <c r="AA23" s="86">
        <v>50000</v>
      </c>
      <c r="AB23" s="87">
        <v>250000</v>
      </c>
      <c r="AC23">
        <v>37500</v>
      </c>
      <c r="AD23">
        <v>0.15</v>
      </c>
    </row>
    <row r="24" spans="1:30" ht="15" thickBot="1">
      <c r="A24" s="43">
        <v>45680</v>
      </c>
      <c r="B24" s="44" t="s">
        <v>13</v>
      </c>
      <c r="C24" s="44" t="s">
        <v>157</v>
      </c>
      <c r="D24" s="44" t="s">
        <v>10</v>
      </c>
      <c r="E24" s="44">
        <v>3</v>
      </c>
      <c r="F24" s="45">
        <v>18000</v>
      </c>
      <c r="G24" s="44">
        <f t="shared" si="0"/>
        <v>54000</v>
      </c>
      <c r="H24" s="46">
        <v>8100</v>
      </c>
      <c r="I24" s="47">
        <f t="shared" si="1"/>
        <v>0.15</v>
      </c>
      <c r="J24" s="9" t="str">
        <f>TRIM(C24)</f>
        <v>Printer</v>
      </c>
      <c r="O24" t="s">
        <v>82</v>
      </c>
      <c r="R24">
        <f>LARGE(G2:G51,N26)</f>
        <v>450000</v>
      </c>
      <c r="V24">
        <v>45662</v>
      </c>
      <c r="W24" t="str">
        <v>North</v>
      </c>
      <c r="X24" t="str">
        <v>Tablet</v>
      </c>
      <c r="Y24" t="str">
        <v>Electronics</v>
      </c>
      <c r="Z24">
        <v>8</v>
      </c>
      <c r="AA24" s="86">
        <v>15000</v>
      </c>
      <c r="AB24" s="87">
        <v>120000</v>
      </c>
      <c r="AC24">
        <v>18000</v>
      </c>
      <c r="AD24">
        <v>0.15</v>
      </c>
    </row>
    <row r="25" spans="1:30" ht="15" thickBot="1">
      <c r="A25" s="43">
        <v>45681</v>
      </c>
      <c r="B25" s="44" t="s">
        <v>16</v>
      </c>
      <c r="C25" s="44" t="s">
        <v>158</v>
      </c>
      <c r="D25" s="44" t="s">
        <v>15</v>
      </c>
      <c r="E25" s="44">
        <v>25</v>
      </c>
      <c r="F25" s="45">
        <v>800</v>
      </c>
      <c r="G25" s="44">
        <f t="shared" si="0"/>
        <v>20000</v>
      </c>
      <c r="H25" s="46">
        <v>4000</v>
      </c>
      <c r="I25" s="47">
        <f t="shared" si="1"/>
        <v>0.2</v>
      </c>
      <c r="J25" s="9" t="str">
        <f>TRIM(C25)</f>
        <v>T-Shirt</v>
      </c>
      <c r="K25" t="s">
        <v>2</v>
      </c>
      <c r="L25" t="s">
        <v>83</v>
      </c>
      <c r="V25">
        <v>45670</v>
      </c>
      <c r="W25" t="str">
        <v>North</v>
      </c>
      <c r="X25" t="str">
        <v>Table</v>
      </c>
      <c r="Y25" t="str">
        <v>Furniture</v>
      </c>
      <c r="Z25">
        <v>5</v>
      </c>
      <c r="AA25" s="86">
        <v>10000</v>
      </c>
      <c r="AB25" s="87">
        <v>50000</v>
      </c>
      <c r="AC25">
        <v>12500</v>
      </c>
      <c r="AD25">
        <v>0.25</v>
      </c>
    </row>
    <row r="26" spans="1:30" ht="15" thickBot="1">
      <c r="A26" s="43">
        <v>45682</v>
      </c>
      <c r="B26" s="44" t="s">
        <v>8</v>
      </c>
      <c r="C26" s="44" t="s">
        <v>159</v>
      </c>
      <c r="D26" s="44" t="s">
        <v>18</v>
      </c>
      <c r="E26" s="44">
        <v>4</v>
      </c>
      <c r="F26" s="45">
        <v>12000</v>
      </c>
      <c r="G26" s="44">
        <f t="shared" si="0"/>
        <v>48000</v>
      </c>
      <c r="H26" s="46">
        <v>12000</v>
      </c>
      <c r="I26" s="47">
        <f t="shared" si="1"/>
        <v>0.25</v>
      </c>
      <c r="J26" s="9" t="str">
        <f>TRIM(C26)</f>
        <v>Desk</v>
      </c>
      <c r="K26" s="1" t="s">
        <v>9</v>
      </c>
      <c r="L26">
        <f>SUMIF($C$2:$C$51,K26,$H$2:$H$51)</f>
        <v>105000</v>
      </c>
      <c r="N26">
        <v>1</v>
      </c>
      <c r="O26">
        <f>LARGE(L26:L37,N26)</f>
        <v>105000</v>
      </c>
      <c r="P26" t="str">
        <f>INDEX($K$26:$K$37,MATCH(O26,$L$26:$L$37,0))</f>
        <v>Laptop</v>
      </c>
      <c r="V26">
        <v>45682</v>
      </c>
      <c r="W26" t="str">
        <v>North</v>
      </c>
      <c r="X26" t="str">
        <v>Desk</v>
      </c>
      <c r="Y26" t="str">
        <v>Furniture</v>
      </c>
      <c r="Z26">
        <v>4</v>
      </c>
      <c r="AA26" s="86">
        <v>12000</v>
      </c>
      <c r="AB26" s="87">
        <v>48000</v>
      </c>
      <c r="AC26">
        <v>12000</v>
      </c>
      <c r="AD26">
        <v>0.25</v>
      </c>
    </row>
    <row r="27" spans="1:30" ht="15" thickBot="1">
      <c r="A27" s="43">
        <v>45683</v>
      </c>
      <c r="B27" s="44" t="s">
        <v>11</v>
      </c>
      <c r="C27" s="44" t="s">
        <v>26</v>
      </c>
      <c r="D27" s="44" t="s">
        <v>10</v>
      </c>
      <c r="E27" s="44">
        <v>2</v>
      </c>
      <c r="F27" s="45">
        <v>40000</v>
      </c>
      <c r="G27" s="44">
        <f t="shared" si="0"/>
        <v>80000</v>
      </c>
      <c r="H27" s="46">
        <v>12000</v>
      </c>
      <c r="I27" s="47">
        <f t="shared" si="1"/>
        <v>0.15</v>
      </c>
      <c r="J27" s="9" t="str">
        <f>TRIM(C27)</f>
        <v>TV</v>
      </c>
      <c r="K27" s="1" t="s">
        <v>12</v>
      </c>
      <c r="L27">
        <f>SUMIF($C$2:$C$51,K27,$H$2:$H$51)</f>
        <v>90000</v>
      </c>
      <c r="N27">
        <v>2</v>
      </c>
      <c r="O27">
        <f t="shared" ref="O27:O30" si="5">LARGE(L27:L38,N27)</f>
        <v>52500</v>
      </c>
      <c r="P27" t="str">
        <f t="shared" ref="P27:P30" si="6">INDEX($K$26:$K$37,MATCH(O27,$L$26:$L$37,0))</f>
        <v>Bed</v>
      </c>
      <c r="V27">
        <v>45706</v>
      </c>
      <c r="W27" t="str">
        <v>North</v>
      </c>
      <c r="X27" t="str">
        <v>Shoes</v>
      </c>
      <c r="Y27" t="str">
        <v>Fashion</v>
      </c>
      <c r="Z27">
        <v>20</v>
      </c>
      <c r="AA27" s="86">
        <v>2000</v>
      </c>
      <c r="AB27" s="87">
        <v>40000</v>
      </c>
      <c r="AC27">
        <v>8000</v>
      </c>
      <c r="AD27">
        <v>0.2</v>
      </c>
    </row>
    <row r="28" spans="1:30" ht="15" thickBot="1">
      <c r="A28" s="43">
        <v>45684</v>
      </c>
      <c r="B28" s="44" t="s">
        <v>13</v>
      </c>
      <c r="C28" s="44" t="s">
        <v>160</v>
      </c>
      <c r="D28" s="44" t="s">
        <v>15</v>
      </c>
      <c r="E28" s="44">
        <v>10</v>
      </c>
      <c r="F28" s="45">
        <v>1200</v>
      </c>
      <c r="G28" s="44">
        <f t="shared" si="0"/>
        <v>12000</v>
      </c>
      <c r="H28" s="46">
        <v>2400</v>
      </c>
      <c r="I28" s="47">
        <f t="shared" si="1"/>
        <v>0.2</v>
      </c>
      <c r="J28" s="9" t="str">
        <f>TRIM(C28)</f>
        <v>Belt</v>
      </c>
      <c r="K28" s="1" t="s">
        <v>14</v>
      </c>
      <c r="L28">
        <f>SUMIF($C$2:$C$51,K28,$H$2:$H$51)</f>
        <v>14000</v>
      </c>
      <c r="N28">
        <v>3</v>
      </c>
      <c r="O28">
        <f t="shared" si="5"/>
        <v>15400</v>
      </c>
      <c r="P28" t="str">
        <f t="shared" si="6"/>
        <v>Jacket</v>
      </c>
      <c r="V28">
        <v>45674</v>
      </c>
      <c r="W28" t="str">
        <v>North</v>
      </c>
      <c r="X28" t="str">
        <v>Speaker</v>
      </c>
      <c r="Y28" t="str">
        <v>Electronics</v>
      </c>
      <c r="Z28">
        <v>9</v>
      </c>
      <c r="AA28" s="86">
        <v>4000</v>
      </c>
      <c r="AB28" s="87">
        <v>36000</v>
      </c>
      <c r="AC28">
        <v>5400</v>
      </c>
      <c r="AD28">
        <v>0.15</v>
      </c>
    </row>
    <row r="29" spans="1:30" ht="15" thickBot="1">
      <c r="A29" s="43">
        <v>45685</v>
      </c>
      <c r="B29" s="44" t="s">
        <v>16</v>
      </c>
      <c r="C29" s="44" t="s">
        <v>161</v>
      </c>
      <c r="D29" s="44" t="s">
        <v>18</v>
      </c>
      <c r="E29" s="44">
        <v>1</v>
      </c>
      <c r="F29" s="45">
        <v>50000</v>
      </c>
      <c r="G29" s="44">
        <f t="shared" si="0"/>
        <v>50000</v>
      </c>
      <c r="H29" s="46">
        <v>12500</v>
      </c>
      <c r="I29" s="47">
        <f t="shared" si="1"/>
        <v>0.25</v>
      </c>
      <c r="J29" s="9" t="str">
        <f>TRIM(C29)</f>
        <v>Recliner</v>
      </c>
      <c r="K29" s="1" t="s">
        <v>17</v>
      </c>
      <c r="L29">
        <f>SUMIF($C$2:$C$51,K29,$H$2:$H$51)</f>
        <v>15000</v>
      </c>
      <c r="N29">
        <v>4</v>
      </c>
      <c r="O29">
        <f t="shared" si="5"/>
        <v>15000</v>
      </c>
      <c r="P29" t="str">
        <f t="shared" si="6"/>
        <v>Sofa</v>
      </c>
      <c r="V29">
        <v>45666</v>
      </c>
      <c r="W29" t="str">
        <v>North</v>
      </c>
      <c r="X29" t="str">
        <v>Jacket</v>
      </c>
      <c r="Y29" t="str">
        <v>Fashion</v>
      </c>
      <c r="Z29">
        <v>10</v>
      </c>
      <c r="AA29" s="86">
        <v>3500</v>
      </c>
      <c r="AB29" s="87">
        <v>35000</v>
      </c>
      <c r="AC29">
        <v>7000</v>
      </c>
      <c r="AD29">
        <v>0.2</v>
      </c>
    </row>
    <row r="30" spans="1:30" ht="15" thickBot="1">
      <c r="A30" s="43">
        <v>45686</v>
      </c>
      <c r="B30" s="44" t="s">
        <v>8</v>
      </c>
      <c r="C30" s="44" t="s">
        <v>162</v>
      </c>
      <c r="D30" s="44" t="s">
        <v>10</v>
      </c>
      <c r="E30" s="44">
        <v>20</v>
      </c>
      <c r="F30" s="45">
        <v>1000</v>
      </c>
      <c r="G30" s="44">
        <f t="shared" si="0"/>
        <v>20000</v>
      </c>
      <c r="H30" s="46">
        <v>3000</v>
      </c>
      <c r="I30" s="47">
        <f t="shared" si="1"/>
        <v>0.15</v>
      </c>
      <c r="J30" s="9" t="str">
        <f>TRIM(C30)</f>
        <v>Mouse</v>
      </c>
      <c r="K30" s="1" t="s">
        <v>19</v>
      </c>
      <c r="L30">
        <f>SUMIF($C$2:$C$51,K30,$H$2:$H$51)</f>
        <v>18000</v>
      </c>
      <c r="N30">
        <v>5</v>
      </c>
      <c r="O30">
        <f t="shared" si="5"/>
        <v>7500</v>
      </c>
      <c r="P30" t="str">
        <f t="shared" si="6"/>
        <v>Chair</v>
      </c>
      <c r="V30">
        <v>45678</v>
      </c>
      <c r="W30" t="str">
        <v>North</v>
      </c>
      <c r="X30" t="str">
        <v>Watch</v>
      </c>
      <c r="Y30" t="str">
        <v>Fashion</v>
      </c>
      <c r="Z30">
        <v>6</v>
      </c>
      <c r="AA30" s="86">
        <v>5000</v>
      </c>
      <c r="AB30" s="87">
        <v>30000</v>
      </c>
      <c r="AC30">
        <v>6000</v>
      </c>
      <c r="AD30">
        <v>0.2</v>
      </c>
    </row>
    <row r="31" spans="1:30" ht="15" thickBot="1">
      <c r="A31" s="43">
        <v>45687</v>
      </c>
      <c r="B31" s="44" t="s">
        <v>11</v>
      </c>
      <c r="C31" s="44" t="s">
        <v>163</v>
      </c>
      <c r="D31" s="44" t="s">
        <v>15</v>
      </c>
      <c r="E31" s="44">
        <v>15</v>
      </c>
      <c r="F31" s="45">
        <v>600</v>
      </c>
      <c r="G31" s="44">
        <f t="shared" si="0"/>
        <v>9000</v>
      </c>
      <c r="H31" s="46">
        <v>1800</v>
      </c>
      <c r="I31" s="47">
        <f t="shared" si="1"/>
        <v>0.2</v>
      </c>
      <c r="J31" s="9" t="str">
        <f>TRIM(C31)</f>
        <v>Cap</v>
      </c>
      <c r="K31" s="1" t="s">
        <v>20</v>
      </c>
      <c r="L31">
        <f>SUMIF($C$2:$C$51,K31,$H$2:$H$51)</f>
        <v>4000</v>
      </c>
      <c r="V31">
        <v>45698</v>
      </c>
      <c r="W31" t="str">
        <v>North</v>
      </c>
      <c r="X31" t="str">
        <v>Earbuds</v>
      </c>
      <c r="Y31" t="str">
        <v>Electronics</v>
      </c>
      <c r="Z31">
        <v>10</v>
      </c>
      <c r="AA31" s="86">
        <v>2500</v>
      </c>
      <c r="AB31" s="87">
        <v>25000</v>
      </c>
      <c r="AC31">
        <v>3750</v>
      </c>
      <c r="AD31">
        <v>0.15</v>
      </c>
    </row>
    <row r="32" spans="1:30" ht="15" thickBot="1">
      <c r="A32" s="43">
        <v>45688</v>
      </c>
      <c r="B32" s="44" t="s">
        <v>13</v>
      </c>
      <c r="C32" s="44" t="s">
        <v>164</v>
      </c>
      <c r="D32" s="44" t="s">
        <v>18</v>
      </c>
      <c r="E32" s="44">
        <v>3</v>
      </c>
      <c r="F32" s="45">
        <v>15000</v>
      </c>
      <c r="G32" s="44">
        <f t="shared" si="0"/>
        <v>45000</v>
      </c>
      <c r="H32" s="46">
        <v>11250</v>
      </c>
      <c r="I32" s="47">
        <f t="shared" si="1"/>
        <v>0.25</v>
      </c>
      <c r="J32" s="9" t="str">
        <f>TRIM(C32)</f>
        <v>Shelf</v>
      </c>
      <c r="K32" s="1" t="s">
        <v>21</v>
      </c>
      <c r="L32">
        <f>SUMIF($C$2:$C$51,K32,$H$2:$H$51)</f>
        <v>7500</v>
      </c>
      <c r="V32">
        <v>45694</v>
      </c>
      <c r="W32" t="str">
        <v>North</v>
      </c>
      <c r="X32" t="str">
        <v>Lamp</v>
      </c>
      <c r="Y32" t="str">
        <v>Furniture</v>
      </c>
      <c r="Z32">
        <v>6</v>
      </c>
      <c r="AA32" s="86">
        <v>4000</v>
      </c>
      <c r="AB32" s="87">
        <v>24000</v>
      </c>
      <c r="AC32">
        <v>6000</v>
      </c>
      <c r="AD32">
        <v>0.25</v>
      </c>
    </row>
    <row r="33" spans="1:30" ht="15" thickBot="1">
      <c r="A33" s="43">
        <v>45689</v>
      </c>
      <c r="B33" s="44" t="s">
        <v>16</v>
      </c>
      <c r="C33" s="44" t="s">
        <v>165</v>
      </c>
      <c r="D33" s="44" t="s">
        <v>10</v>
      </c>
      <c r="E33" s="44">
        <v>5</v>
      </c>
      <c r="F33" s="45">
        <v>5000</v>
      </c>
      <c r="G33" s="44">
        <f t="shared" si="0"/>
        <v>25000</v>
      </c>
      <c r="H33" s="46">
        <v>3750</v>
      </c>
      <c r="I33" s="47">
        <f t="shared" si="1"/>
        <v>0.15</v>
      </c>
      <c r="J33" s="9" t="str">
        <f>TRIM(C33)</f>
        <v>Router</v>
      </c>
      <c r="K33" s="1" t="s">
        <v>22</v>
      </c>
      <c r="L33">
        <f>SUMIF($C$2:$C$51,K33,$H$2:$H$51)</f>
        <v>5400</v>
      </c>
      <c r="N33" s="75">
        <v>45689</v>
      </c>
      <c r="O33" s="73" t="s">
        <v>16</v>
      </c>
      <c r="P33" s="73" t="s">
        <v>24</v>
      </c>
      <c r="Q33" s="73" t="s">
        <v>18</v>
      </c>
      <c r="R33" s="73">
        <v>4</v>
      </c>
      <c r="S33" s="73">
        <v>40000</v>
      </c>
      <c r="T33" s="73">
        <v>160000</v>
      </c>
      <c r="V33">
        <v>45686</v>
      </c>
      <c r="W33" t="str">
        <v>North</v>
      </c>
      <c r="X33" t="str">
        <v>Mouse</v>
      </c>
      <c r="Y33" t="str">
        <v>Electronics</v>
      </c>
      <c r="Z33">
        <v>20</v>
      </c>
      <c r="AA33" s="86">
        <v>1000</v>
      </c>
      <c r="AB33" s="87">
        <v>20000</v>
      </c>
      <c r="AC33">
        <v>3000</v>
      </c>
      <c r="AD33">
        <v>0.15</v>
      </c>
    </row>
    <row r="34" spans="1:30" ht="15" thickBot="1">
      <c r="A34" s="43">
        <v>45690</v>
      </c>
      <c r="B34" s="44" t="s">
        <v>8</v>
      </c>
      <c r="C34" s="44" t="s">
        <v>166</v>
      </c>
      <c r="D34" s="44" t="s">
        <v>15</v>
      </c>
      <c r="E34" s="44">
        <v>8</v>
      </c>
      <c r="F34" s="45">
        <v>2000</v>
      </c>
      <c r="G34" s="44">
        <f t="shared" si="0"/>
        <v>16000</v>
      </c>
      <c r="H34" s="46">
        <v>3200</v>
      </c>
      <c r="I34" s="47">
        <f t="shared" si="1"/>
        <v>0.2</v>
      </c>
      <c r="J34" s="9" t="str">
        <f>TRIM(C34)</f>
        <v>Kurta</v>
      </c>
      <c r="K34" s="1" t="s">
        <v>23</v>
      </c>
      <c r="L34">
        <f>SUMIF($C$2:$C$51,K34,$H$2:$H$51)</f>
        <v>15400</v>
      </c>
      <c r="N34" s="76">
        <v>45690</v>
      </c>
      <c r="O34" s="74" t="s">
        <v>8</v>
      </c>
      <c r="P34" s="74" t="s">
        <v>12</v>
      </c>
      <c r="Q34" s="74" t="s">
        <v>10</v>
      </c>
      <c r="R34" s="74">
        <v>7</v>
      </c>
      <c r="S34" s="74">
        <v>20000</v>
      </c>
      <c r="T34" s="74">
        <v>140000</v>
      </c>
      <c r="V34">
        <v>45690</v>
      </c>
      <c r="W34" t="str">
        <v>North</v>
      </c>
      <c r="X34" t="str">
        <v>Kurta</v>
      </c>
      <c r="Y34" t="str">
        <v>Fashion</v>
      </c>
      <c r="Z34">
        <v>8</v>
      </c>
      <c r="AA34" s="86">
        <v>2000</v>
      </c>
      <c r="AB34" s="87">
        <v>16000</v>
      </c>
      <c r="AC34">
        <v>3200</v>
      </c>
      <c r="AD34">
        <v>0.2</v>
      </c>
    </row>
    <row r="35" spans="1:30" ht="15" thickBot="1">
      <c r="A35" s="43">
        <v>45691</v>
      </c>
      <c r="B35" s="44" t="s">
        <v>11</v>
      </c>
      <c r="C35" s="44" t="s">
        <v>167</v>
      </c>
      <c r="D35" s="44" t="s">
        <v>18</v>
      </c>
      <c r="E35" s="44">
        <v>1</v>
      </c>
      <c r="F35" s="45">
        <v>60000</v>
      </c>
      <c r="G35" s="44">
        <f t="shared" si="0"/>
        <v>60000</v>
      </c>
      <c r="H35" s="46">
        <v>15000</v>
      </c>
      <c r="I35" s="47">
        <f t="shared" si="1"/>
        <v>0.25</v>
      </c>
      <c r="J35" s="9" t="str">
        <f>TRIM(C35)</f>
        <v>Dining Set</v>
      </c>
      <c r="K35" s="1" t="s">
        <v>24</v>
      </c>
      <c r="L35">
        <f>SUMIF($C$2:$C$51,K35,$H$2:$H$51)</f>
        <v>52500</v>
      </c>
      <c r="N35" s="75">
        <v>45691</v>
      </c>
      <c r="O35" s="73" t="s">
        <v>11</v>
      </c>
      <c r="P35" s="73" t="s">
        <v>14</v>
      </c>
      <c r="Q35" s="73" t="s">
        <v>15</v>
      </c>
      <c r="R35" s="73">
        <v>12</v>
      </c>
      <c r="S35" s="73">
        <v>2000</v>
      </c>
      <c r="T35" s="73">
        <v>24000</v>
      </c>
      <c r="V35">
        <v>45702</v>
      </c>
      <c r="W35" t="str">
        <v>North</v>
      </c>
      <c r="X35" t="str">
        <v>Tie</v>
      </c>
      <c r="Y35" t="str">
        <v>Fashion</v>
      </c>
      <c r="Z35">
        <v>10</v>
      </c>
      <c r="AA35" s="86">
        <v>700</v>
      </c>
      <c r="AB35" s="87">
        <v>7000</v>
      </c>
      <c r="AC35">
        <v>1400</v>
      </c>
      <c r="AD35">
        <v>0.2</v>
      </c>
    </row>
    <row r="36" spans="1:30" ht="15" thickBot="1">
      <c r="A36" s="43">
        <v>45692</v>
      </c>
      <c r="B36" s="44" t="s">
        <v>13</v>
      </c>
      <c r="C36" s="44" t="s">
        <v>168</v>
      </c>
      <c r="D36" s="44" t="s">
        <v>10</v>
      </c>
      <c r="E36" s="44">
        <v>3</v>
      </c>
      <c r="F36" s="45">
        <v>22000</v>
      </c>
      <c r="G36" s="44">
        <f t="shared" si="0"/>
        <v>66000</v>
      </c>
      <c r="H36" s="46">
        <v>9900</v>
      </c>
      <c r="I36" s="47">
        <f t="shared" si="1"/>
        <v>0.15</v>
      </c>
      <c r="J36" s="9" t="str">
        <f>TRIM(C36)</f>
        <v>Console</v>
      </c>
      <c r="K36" s="1" t="s">
        <v>25</v>
      </c>
      <c r="L36">
        <f>SUMIF($C$2:$C$51,K36,$H$2:$H$51)</f>
        <v>6000</v>
      </c>
      <c r="N36" s="76">
        <v>45692</v>
      </c>
      <c r="O36" s="74" t="s">
        <v>13</v>
      </c>
      <c r="P36" s="74" t="s">
        <v>17</v>
      </c>
      <c r="Q36" s="74" t="s">
        <v>18</v>
      </c>
      <c r="R36" s="74">
        <v>2</v>
      </c>
      <c r="S36" s="74">
        <v>30000</v>
      </c>
      <c r="T36" s="74">
        <v>60000</v>
      </c>
      <c r="AA36" s="86"/>
      <c r="AB36" s="87"/>
    </row>
    <row r="37" spans="1:30" ht="15" thickBot="1">
      <c r="A37" s="43">
        <v>45693</v>
      </c>
      <c r="B37" s="44" t="s">
        <v>16</v>
      </c>
      <c r="C37" s="44" t="s">
        <v>169</v>
      </c>
      <c r="D37" s="44" t="s">
        <v>15</v>
      </c>
      <c r="E37" s="44">
        <v>5</v>
      </c>
      <c r="F37" s="45">
        <v>3000</v>
      </c>
      <c r="G37" s="44">
        <f t="shared" si="0"/>
        <v>15000</v>
      </c>
      <c r="H37" s="46">
        <v>3000</v>
      </c>
      <c r="I37" s="47">
        <f t="shared" si="1"/>
        <v>0.2</v>
      </c>
      <c r="J37" s="9" t="str">
        <f>TRIM(C37)</f>
        <v>Saree</v>
      </c>
      <c r="K37" s="1" t="s">
        <v>26</v>
      </c>
      <c r="L37">
        <f>SUMIF($C$2:$C$51,K37,$H$2:$H$51)</f>
        <v>12000</v>
      </c>
      <c r="N37" s="75">
        <v>45693</v>
      </c>
      <c r="O37" s="73" t="s">
        <v>16</v>
      </c>
      <c r="P37" s="73" t="s">
        <v>9</v>
      </c>
      <c r="Q37" s="73" t="s">
        <v>10</v>
      </c>
      <c r="R37" s="73">
        <v>6</v>
      </c>
      <c r="S37" s="73">
        <v>50000</v>
      </c>
      <c r="T37" s="73">
        <v>300000</v>
      </c>
      <c r="V37" cm="1">
        <f t="array" ref="V37:AB41">_xlfn.SEQUENCE(5,7)</f>
        <v>1</v>
      </c>
      <c r="W37">
        <v>2</v>
      </c>
      <c r="X37">
        <v>3</v>
      </c>
      <c r="Y37">
        <v>4</v>
      </c>
      <c r="Z37">
        <v>5</v>
      </c>
      <c r="AA37" s="86">
        <v>6</v>
      </c>
      <c r="AB37" s="87">
        <v>7</v>
      </c>
    </row>
    <row r="38" spans="1:30" ht="15" thickBot="1">
      <c r="A38" s="43">
        <v>45694</v>
      </c>
      <c r="B38" s="44" t="s">
        <v>8</v>
      </c>
      <c r="C38" s="44" t="s">
        <v>170</v>
      </c>
      <c r="D38" s="44" t="s">
        <v>18</v>
      </c>
      <c r="E38" s="44">
        <v>6</v>
      </c>
      <c r="F38" s="45">
        <v>4000</v>
      </c>
      <c r="G38" s="44">
        <f t="shared" si="0"/>
        <v>24000</v>
      </c>
      <c r="H38" s="46">
        <v>6000</v>
      </c>
      <c r="I38" s="47">
        <f t="shared" si="1"/>
        <v>0.25</v>
      </c>
      <c r="J38" s="9" t="str">
        <f>TRIM(C38)</f>
        <v>Lamp</v>
      </c>
      <c r="N38" s="76">
        <v>45694</v>
      </c>
      <c r="O38" s="74" t="s">
        <v>8</v>
      </c>
      <c r="P38" s="74" t="s">
        <v>23</v>
      </c>
      <c r="Q38" s="74" t="s">
        <v>15</v>
      </c>
      <c r="R38" s="74">
        <v>15</v>
      </c>
      <c r="S38" s="74">
        <v>3500</v>
      </c>
      <c r="T38" s="74">
        <v>52500</v>
      </c>
      <c r="V38">
        <v>8</v>
      </c>
      <c r="W38">
        <v>9</v>
      </c>
      <c r="X38">
        <v>10</v>
      </c>
      <c r="Y38">
        <v>11</v>
      </c>
      <c r="Z38">
        <v>12</v>
      </c>
      <c r="AA38" s="86">
        <v>13</v>
      </c>
      <c r="AB38" s="87">
        <v>14</v>
      </c>
    </row>
    <row r="39" spans="1:30" ht="15" thickBot="1">
      <c r="A39" s="43">
        <v>45695</v>
      </c>
      <c r="B39" s="44" t="s">
        <v>11</v>
      </c>
      <c r="C39" s="44" t="s">
        <v>171</v>
      </c>
      <c r="D39" s="44" t="s">
        <v>10</v>
      </c>
      <c r="E39" s="44">
        <v>2</v>
      </c>
      <c r="F39" s="45">
        <v>30000</v>
      </c>
      <c r="G39" s="44">
        <f t="shared" si="0"/>
        <v>60000</v>
      </c>
      <c r="H39" s="46">
        <v>9000</v>
      </c>
      <c r="I39" s="47">
        <f t="shared" si="1"/>
        <v>0.15</v>
      </c>
      <c r="J39" s="9" t="str">
        <f>TRIM(C39)</f>
        <v>Drone</v>
      </c>
      <c r="K39" t="s">
        <v>84</v>
      </c>
      <c r="N39" s="75">
        <v>45695</v>
      </c>
      <c r="O39" s="73" t="s">
        <v>11</v>
      </c>
      <c r="P39" s="73" t="s">
        <v>21</v>
      </c>
      <c r="Q39" s="73" t="s">
        <v>18</v>
      </c>
      <c r="R39" s="73">
        <v>8</v>
      </c>
      <c r="S39" s="73">
        <v>5000</v>
      </c>
      <c r="T39" s="73">
        <v>40000</v>
      </c>
      <c r="V39">
        <v>15</v>
      </c>
      <c r="W39">
        <v>16</v>
      </c>
      <c r="X39">
        <v>17</v>
      </c>
      <c r="Y39">
        <v>18</v>
      </c>
      <c r="Z39">
        <v>19</v>
      </c>
      <c r="AA39" s="86">
        <v>20</v>
      </c>
      <c r="AB39" s="87">
        <v>21</v>
      </c>
    </row>
    <row r="40" spans="1:30" ht="15" thickBot="1">
      <c r="A40" s="43">
        <v>45696</v>
      </c>
      <c r="B40" s="44" t="s">
        <v>13</v>
      </c>
      <c r="C40" s="44" t="s">
        <v>172</v>
      </c>
      <c r="D40" s="44" t="s">
        <v>15</v>
      </c>
      <c r="E40" s="44">
        <v>4</v>
      </c>
      <c r="F40" s="45">
        <v>4000</v>
      </c>
      <c r="G40" s="44">
        <f t="shared" si="0"/>
        <v>16000</v>
      </c>
      <c r="H40" s="46">
        <v>3200</v>
      </c>
      <c r="I40" s="47">
        <f t="shared" si="1"/>
        <v>0.2</v>
      </c>
      <c r="J40" s="9" t="str">
        <f>TRIM(C40)</f>
        <v>Blazer</v>
      </c>
      <c r="N40" s="76">
        <v>45696</v>
      </c>
      <c r="O40" s="74" t="s">
        <v>13</v>
      </c>
      <c r="P40" s="74" t="s">
        <v>22</v>
      </c>
      <c r="Q40" s="74" t="s">
        <v>10</v>
      </c>
      <c r="R40" s="74">
        <v>20</v>
      </c>
      <c r="S40" s="74">
        <v>3000</v>
      </c>
      <c r="T40" s="74">
        <v>60000</v>
      </c>
      <c r="V40">
        <v>22</v>
      </c>
      <c r="W40">
        <v>23</v>
      </c>
      <c r="X40">
        <v>24</v>
      </c>
      <c r="Y40">
        <v>25</v>
      </c>
      <c r="Z40">
        <v>26</v>
      </c>
      <c r="AA40" s="86">
        <v>27</v>
      </c>
      <c r="AB40" s="87">
        <v>28</v>
      </c>
    </row>
    <row r="41" spans="1:30" ht="15" thickBot="1">
      <c r="A41" s="43">
        <v>45697</v>
      </c>
      <c r="B41" s="44" t="s">
        <v>16</v>
      </c>
      <c r="C41" s="44" t="s">
        <v>173</v>
      </c>
      <c r="D41" s="44" t="s">
        <v>18</v>
      </c>
      <c r="E41" s="44">
        <v>2</v>
      </c>
      <c r="F41" s="45">
        <v>20000</v>
      </c>
      <c r="G41" s="44">
        <f t="shared" si="0"/>
        <v>40000</v>
      </c>
      <c r="H41" s="46">
        <v>10000</v>
      </c>
      <c r="I41" s="47">
        <f t="shared" si="1"/>
        <v>0.25</v>
      </c>
      <c r="J41" s="9" t="str">
        <f>TRIM(C41)</f>
        <v>Mattress</v>
      </c>
      <c r="K41" t="s">
        <v>85</v>
      </c>
      <c r="L41">
        <f>SMALL(H2:H51,1)</f>
        <v>1400</v>
      </c>
      <c r="N41" s="75">
        <v>45697</v>
      </c>
      <c r="O41" s="73" t="s">
        <v>16</v>
      </c>
      <c r="P41" s="73" t="s">
        <v>20</v>
      </c>
      <c r="Q41" s="73" t="s">
        <v>15</v>
      </c>
      <c r="R41" s="73">
        <v>18</v>
      </c>
      <c r="S41" s="73">
        <v>1000</v>
      </c>
      <c r="T41" s="73">
        <v>18000</v>
      </c>
      <c r="V41">
        <v>29</v>
      </c>
      <c r="W41">
        <v>30</v>
      </c>
      <c r="X41">
        <v>31</v>
      </c>
      <c r="Y41">
        <v>32</v>
      </c>
      <c r="Z41">
        <v>33</v>
      </c>
      <c r="AA41" s="86">
        <v>34</v>
      </c>
      <c r="AB41" s="87">
        <v>35</v>
      </c>
    </row>
    <row r="42" spans="1:30" ht="15" thickBot="1">
      <c r="A42" s="43">
        <v>45698</v>
      </c>
      <c r="B42" s="44" t="s">
        <v>8</v>
      </c>
      <c r="C42" s="44" t="s">
        <v>174</v>
      </c>
      <c r="D42" s="44" t="s">
        <v>10</v>
      </c>
      <c r="E42" s="44">
        <v>10</v>
      </c>
      <c r="F42" s="45">
        <v>2500</v>
      </c>
      <c r="G42" s="44">
        <f t="shared" si="0"/>
        <v>25000</v>
      </c>
      <c r="H42" s="46">
        <v>3750</v>
      </c>
      <c r="I42" s="47">
        <f t="shared" si="1"/>
        <v>0.15</v>
      </c>
      <c r="J42" s="9" t="str">
        <f>TRIM(C42)</f>
        <v>Earbuds</v>
      </c>
      <c r="N42" s="76">
        <v>45698</v>
      </c>
      <c r="O42" s="74" t="s">
        <v>8</v>
      </c>
      <c r="P42" s="74" t="s">
        <v>26</v>
      </c>
      <c r="Q42" s="74" t="s">
        <v>10</v>
      </c>
      <c r="R42" s="74">
        <v>3</v>
      </c>
      <c r="S42" s="74">
        <v>25000</v>
      </c>
      <c r="T42" s="74">
        <v>75000</v>
      </c>
      <c r="AA42" s="86"/>
      <c r="AB42" s="87"/>
    </row>
    <row r="43" spans="1:30" ht="15" thickBot="1">
      <c r="A43" s="43">
        <v>45699</v>
      </c>
      <c r="B43" s="44" t="s">
        <v>11</v>
      </c>
      <c r="C43" s="44" t="s">
        <v>175</v>
      </c>
      <c r="D43" s="44" t="s">
        <v>15</v>
      </c>
      <c r="E43" s="44">
        <v>12</v>
      </c>
      <c r="F43" s="45">
        <v>1500</v>
      </c>
      <c r="G43" s="44">
        <f t="shared" si="0"/>
        <v>18000</v>
      </c>
      <c r="H43" s="46">
        <v>3600</v>
      </c>
      <c r="I43" s="47">
        <f t="shared" si="1"/>
        <v>0.2</v>
      </c>
      <c r="J43" s="9" t="str">
        <f>TRIM(C43)</f>
        <v>Kurti</v>
      </c>
      <c r="N43" s="75">
        <v>45699</v>
      </c>
      <c r="O43" s="73" t="s">
        <v>11</v>
      </c>
      <c r="P43" s="73" t="s">
        <v>14</v>
      </c>
      <c r="Q43" s="73" t="s">
        <v>15</v>
      </c>
      <c r="R43" s="73">
        <v>25</v>
      </c>
      <c r="S43" s="73">
        <v>2000</v>
      </c>
      <c r="T43" s="73">
        <v>50000</v>
      </c>
      <c r="AA43" s="86"/>
      <c r="AB43" s="87"/>
    </row>
    <row r="44" spans="1:30" ht="15" thickBot="1">
      <c r="A44" s="43">
        <v>45700</v>
      </c>
      <c r="B44" s="44" t="s">
        <v>13</v>
      </c>
      <c r="C44" s="44" t="s">
        <v>176</v>
      </c>
      <c r="D44" s="44" t="s">
        <v>18</v>
      </c>
      <c r="E44" s="44">
        <v>2</v>
      </c>
      <c r="F44" s="45">
        <v>28000</v>
      </c>
      <c r="G44" s="44">
        <f t="shared" si="0"/>
        <v>56000</v>
      </c>
      <c r="H44" s="46">
        <v>14000</v>
      </c>
      <c r="I44" s="47">
        <f t="shared" si="1"/>
        <v>0.25</v>
      </c>
      <c r="J44" s="9" t="str">
        <f>TRIM(C44)</f>
        <v>Cabinet</v>
      </c>
      <c r="N44" s="76">
        <v>45700</v>
      </c>
      <c r="O44" s="74" t="s">
        <v>13</v>
      </c>
      <c r="P44" s="74" t="s">
        <v>17</v>
      </c>
      <c r="Q44" s="74" t="s">
        <v>18</v>
      </c>
      <c r="R44" s="74">
        <v>4</v>
      </c>
      <c r="S44" s="74">
        <v>30000</v>
      </c>
      <c r="T44" s="74">
        <v>120000</v>
      </c>
      <c r="AA44" s="86"/>
      <c r="AB44" s="87"/>
    </row>
    <row r="45" spans="1:30" ht="15" thickBot="1">
      <c r="A45" s="43">
        <v>45701</v>
      </c>
      <c r="B45" s="44" t="s">
        <v>16</v>
      </c>
      <c r="C45" s="44" t="s">
        <v>177</v>
      </c>
      <c r="D45" s="44" t="s">
        <v>10</v>
      </c>
      <c r="E45" s="44">
        <v>2</v>
      </c>
      <c r="F45" s="45">
        <v>35000</v>
      </c>
      <c r="G45" s="44">
        <f t="shared" si="0"/>
        <v>70000</v>
      </c>
      <c r="H45" s="46">
        <v>10500</v>
      </c>
      <c r="I45" s="47">
        <f t="shared" si="1"/>
        <v>0.15</v>
      </c>
      <c r="J45" s="9" t="str">
        <f>TRIM(C45)</f>
        <v>Camera Lens</v>
      </c>
      <c r="N45" s="75">
        <v>45701</v>
      </c>
      <c r="O45" s="73" t="s">
        <v>16</v>
      </c>
      <c r="P45" s="73" t="s">
        <v>19</v>
      </c>
      <c r="Q45" s="73" t="s">
        <v>10</v>
      </c>
      <c r="R45" s="73">
        <v>10</v>
      </c>
      <c r="S45" s="73">
        <v>15000</v>
      </c>
      <c r="T45" s="73">
        <v>150000</v>
      </c>
      <c r="AA45" s="86"/>
      <c r="AB45" s="87"/>
    </row>
    <row r="46" spans="1:30" ht="15" thickBot="1">
      <c r="A46" s="43">
        <v>45702</v>
      </c>
      <c r="B46" s="44" t="s">
        <v>8</v>
      </c>
      <c r="C46" s="44" t="s">
        <v>178</v>
      </c>
      <c r="D46" s="44" t="s">
        <v>15</v>
      </c>
      <c r="E46" s="44">
        <v>10</v>
      </c>
      <c r="F46" s="45">
        <v>700</v>
      </c>
      <c r="G46" s="44">
        <f t="shared" si="0"/>
        <v>7000</v>
      </c>
      <c r="H46" s="46">
        <v>1400</v>
      </c>
      <c r="I46" s="47">
        <f t="shared" si="1"/>
        <v>0.2</v>
      </c>
      <c r="J46" s="9" t="str">
        <f>TRIM(C46)</f>
        <v>Tie</v>
      </c>
      <c r="N46" s="76">
        <v>45702</v>
      </c>
      <c r="O46" s="74" t="s">
        <v>8</v>
      </c>
      <c r="P46" s="74" t="s">
        <v>25</v>
      </c>
      <c r="Q46" s="74" t="s">
        <v>15</v>
      </c>
      <c r="R46" s="74">
        <v>6</v>
      </c>
      <c r="S46" s="74">
        <v>6000</v>
      </c>
      <c r="T46" s="74">
        <v>36000</v>
      </c>
      <c r="AA46" s="86"/>
      <c r="AB46" s="87"/>
    </row>
    <row r="47" spans="1:30" ht="15" thickBot="1">
      <c r="A47" s="43">
        <v>45703</v>
      </c>
      <c r="B47" s="44" t="s">
        <v>11</v>
      </c>
      <c r="C47" s="44" t="s">
        <v>24</v>
      </c>
      <c r="D47" s="44" t="s">
        <v>18</v>
      </c>
      <c r="E47" s="44">
        <v>2</v>
      </c>
      <c r="F47" s="45">
        <v>45000</v>
      </c>
      <c r="G47" s="44">
        <f t="shared" si="0"/>
        <v>90000</v>
      </c>
      <c r="H47" s="46">
        <f>G47*0.25</f>
        <v>22500</v>
      </c>
      <c r="I47" s="47">
        <f t="shared" si="1"/>
        <v>0.25</v>
      </c>
      <c r="J47" s="9" t="str">
        <f>TRIM(C47)</f>
        <v>Bed</v>
      </c>
      <c r="N47" s="75">
        <v>45703</v>
      </c>
      <c r="O47" s="73" t="s">
        <v>11</v>
      </c>
      <c r="P47" s="73" t="s">
        <v>24</v>
      </c>
      <c r="Q47" s="73" t="s">
        <v>18</v>
      </c>
      <c r="R47" s="73">
        <v>2</v>
      </c>
      <c r="S47" s="73">
        <v>40000</v>
      </c>
      <c r="T47" s="73">
        <v>80000</v>
      </c>
      <c r="AA47" s="86"/>
      <c r="AB47" s="87"/>
    </row>
    <row r="48" spans="1:30" ht="15" thickBot="1">
      <c r="A48" s="43">
        <v>45704</v>
      </c>
      <c r="B48" s="44" t="s">
        <v>13</v>
      </c>
      <c r="C48" s="44" t="s">
        <v>12</v>
      </c>
      <c r="D48" s="44" t="s">
        <v>10</v>
      </c>
      <c r="E48" s="44">
        <v>8</v>
      </c>
      <c r="F48" s="45">
        <v>50000</v>
      </c>
      <c r="G48" s="44">
        <f t="shared" si="0"/>
        <v>400000</v>
      </c>
      <c r="H48" s="46">
        <f>G48*0.15</f>
        <v>60000</v>
      </c>
      <c r="I48" s="47">
        <f t="shared" si="1"/>
        <v>0.15</v>
      </c>
      <c r="J48" s="9" t="str">
        <f>TRIM(C48)</f>
        <v>Mobile</v>
      </c>
      <c r="N48" s="76">
        <v>45704</v>
      </c>
      <c r="O48" s="74" t="s">
        <v>13</v>
      </c>
      <c r="P48" s="74" t="s">
        <v>12</v>
      </c>
      <c r="Q48" s="74" t="s">
        <v>10</v>
      </c>
      <c r="R48" s="74">
        <v>8</v>
      </c>
      <c r="S48" s="74">
        <v>20000</v>
      </c>
      <c r="T48" s="74">
        <v>160000</v>
      </c>
    </row>
    <row r="49" spans="1:20" ht="15" thickBot="1">
      <c r="A49" s="43">
        <v>45705</v>
      </c>
      <c r="B49" s="44" t="s">
        <v>16</v>
      </c>
      <c r="C49" s="44" t="s">
        <v>23</v>
      </c>
      <c r="D49" s="44" t="s">
        <v>15</v>
      </c>
      <c r="E49" s="44">
        <v>14</v>
      </c>
      <c r="F49" s="45">
        <v>3000</v>
      </c>
      <c r="G49" s="44">
        <f t="shared" si="0"/>
        <v>42000</v>
      </c>
      <c r="H49" s="46">
        <f>G49*0.2</f>
        <v>8400</v>
      </c>
      <c r="I49" s="47">
        <f t="shared" si="1"/>
        <v>0.2</v>
      </c>
      <c r="J49" s="9" t="str">
        <f>TRIM(C49)</f>
        <v>Jacket</v>
      </c>
      <c r="N49" s="75">
        <v>45705</v>
      </c>
      <c r="O49" s="73" t="s">
        <v>16</v>
      </c>
      <c r="P49" s="73" t="s">
        <v>23</v>
      </c>
      <c r="Q49" s="73" t="s">
        <v>15</v>
      </c>
      <c r="R49" s="73">
        <v>14</v>
      </c>
      <c r="S49" s="73">
        <v>3500</v>
      </c>
      <c r="T49" s="73">
        <v>49000</v>
      </c>
    </row>
    <row r="50" spans="1:20" ht="15" thickBot="1">
      <c r="A50" s="43">
        <v>45706</v>
      </c>
      <c r="B50" s="44" t="s">
        <v>8</v>
      </c>
      <c r="C50" s="44" t="s">
        <v>14</v>
      </c>
      <c r="D50" s="44" t="s">
        <v>15</v>
      </c>
      <c r="E50" s="44">
        <v>20</v>
      </c>
      <c r="F50" s="45">
        <v>2000</v>
      </c>
      <c r="G50" s="44">
        <f t="shared" si="0"/>
        <v>40000</v>
      </c>
      <c r="H50" s="46">
        <f>G50*0.2</f>
        <v>8000</v>
      </c>
      <c r="I50" s="47">
        <f t="shared" si="1"/>
        <v>0.2</v>
      </c>
      <c r="J50" s="9" t="str">
        <f>TRIM(C50)</f>
        <v>Shoes</v>
      </c>
      <c r="N50" s="76">
        <v>45706</v>
      </c>
      <c r="O50" s="74" t="s">
        <v>8</v>
      </c>
      <c r="P50" s="74" t="s">
        <v>14</v>
      </c>
      <c r="Q50" s="74" t="s">
        <v>15</v>
      </c>
      <c r="R50" s="74">
        <v>20</v>
      </c>
      <c r="S50" s="74">
        <v>2000</v>
      </c>
      <c r="T50" s="74">
        <v>40000</v>
      </c>
    </row>
    <row r="51" spans="1:20" ht="15" thickBot="1">
      <c r="A51" s="43">
        <v>45707</v>
      </c>
      <c r="B51" s="44" t="s">
        <v>11</v>
      </c>
      <c r="C51" s="44" t="s">
        <v>9</v>
      </c>
      <c r="D51" s="44" t="s">
        <v>10</v>
      </c>
      <c r="E51" s="44">
        <v>5</v>
      </c>
      <c r="F51" s="45">
        <v>90000</v>
      </c>
      <c r="G51" s="44">
        <f t="shared" si="0"/>
        <v>450000</v>
      </c>
      <c r="H51" s="46">
        <f>G51*0.15</f>
        <v>67500</v>
      </c>
      <c r="I51" s="47">
        <f t="shared" si="1"/>
        <v>0.15</v>
      </c>
      <c r="J51" s="9" t="str">
        <f>TRIM(C51)</f>
        <v>Laptop</v>
      </c>
      <c r="N51" s="75">
        <v>45707</v>
      </c>
      <c r="O51" s="73" t="s">
        <v>11</v>
      </c>
      <c r="P51" s="73" t="s">
        <v>9</v>
      </c>
      <c r="Q51" s="73" t="s">
        <v>10</v>
      </c>
      <c r="R51" s="73">
        <v>5</v>
      </c>
      <c r="S51" s="73">
        <v>50000</v>
      </c>
      <c r="T51" s="73">
        <v>250000</v>
      </c>
    </row>
    <row r="52" spans="1:20" ht="15" thickBot="1">
      <c r="A52" s="3">
        <v>45708</v>
      </c>
      <c r="B52" s="85" t="s">
        <v>11</v>
      </c>
      <c r="C52" s="44" t="s">
        <v>12</v>
      </c>
      <c r="D52" s="85" t="s">
        <v>10</v>
      </c>
      <c r="E52" s="85">
        <v>4</v>
      </c>
      <c r="F52" s="24">
        <v>50000</v>
      </c>
      <c r="G52" s="85">
        <f t="shared" si="0"/>
        <v>200000</v>
      </c>
      <c r="H52" s="46">
        <f>G52*0.15</f>
        <v>30000</v>
      </c>
      <c r="I52" s="47">
        <f t="shared" si="1"/>
        <v>0.15</v>
      </c>
    </row>
    <row r="53" spans="1:20">
      <c r="F53" s="24" t="s">
        <v>37</v>
      </c>
      <c r="G53">
        <f>SUM(G2:G52)</f>
        <v>3515200</v>
      </c>
      <c r="H53" s="21">
        <f>SUM(G2:G51)</f>
        <v>3315200</v>
      </c>
    </row>
    <row r="54" spans="1:20">
      <c r="F54" s="24" t="s">
        <v>38</v>
      </c>
      <c r="G54" s="5">
        <f>SUM(H2:H52)</f>
        <v>628590</v>
      </c>
    </row>
    <row r="55" spans="1:20">
      <c r="G55">
        <f>SUM(G33:G52)</f>
        <v>1720000</v>
      </c>
    </row>
    <row r="56" spans="1:20">
      <c r="H56" s="21">
        <f>SUM(G33:G51)</f>
        <v>1520000</v>
      </c>
      <c r="I56">
        <f>SUM(G2:G32)</f>
        <v>1795200</v>
      </c>
    </row>
    <row r="67" spans="8:8">
      <c r="H67" s="25"/>
    </row>
  </sheetData>
  <mergeCells count="2">
    <mergeCell ref="N9:P9"/>
    <mergeCell ref="Z2:AC2"/>
  </mergeCells>
  <conditionalFormatting sqref="D2:D5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52">
    <cfRule type="cellIs" dxfId="6" priority="3" operator="greaterThan">
      <formula>0.15</formula>
    </cfRule>
    <cfRule type="cellIs" dxfId="5" priority="5" operator="equal">
      <formula>10</formula>
    </cfRule>
    <cfRule type="cellIs" dxfId="4" priority="6" operator="greaterThan">
      <formula>14</formula>
    </cfRule>
    <cfRule type="cellIs" dxfId="3" priority="7" operator="lessThan">
      <formula>10</formula>
    </cfRule>
    <cfRule type="cellIs" dxfId="2" priority="8" operator="greaterThan">
      <formula>10</formula>
    </cfRule>
  </conditionalFormatting>
  <conditionalFormatting sqref="C2:C52">
    <cfRule type="duplicateValues" dxfId="1" priority="2"/>
  </conditionalFormatting>
  <conditionalFormatting sqref="AA3:AA47">
    <cfRule type="duplicateValues" dxfId="0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226E-73A0-43B1-A031-4AF710736159}">
  <dimension ref="A1:S74"/>
  <sheetViews>
    <sheetView workbookViewId="0">
      <selection activeCell="M4" sqref="M4"/>
    </sheetView>
  </sheetViews>
  <sheetFormatPr defaultRowHeight="14.4"/>
  <cols>
    <col min="1" max="1" width="8.88671875" style="56"/>
    <col min="2" max="2" width="11.109375" style="56" bestFit="1" customWidth="1"/>
    <col min="3" max="3" width="10.109375" style="56" bestFit="1" customWidth="1"/>
    <col min="4" max="4" width="13.77734375" style="56" bestFit="1" customWidth="1"/>
    <col min="5" max="5" width="13.21875" style="56" bestFit="1" customWidth="1"/>
    <col min="6" max="6" width="10" style="56" bestFit="1" customWidth="1"/>
    <col min="7" max="8" width="8.88671875" style="56"/>
    <col min="9" max="9" width="12.21875" style="56" customWidth="1"/>
    <col min="10" max="10" width="4.33203125" style="56" customWidth="1"/>
    <col min="11" max="11" width="8.88671875" style="56"/>
    <col min="12" max="12" width="10" style="56" bestFit="1" customWidth="1"/>
    <col min="13" max="13" width="10.21875" style="56" customWidth="1"/>
    <col min="14" max="14" width="10.44140625" style="56" customWidth="1"/>
    <col min="15" max="15" width="8.88671875" style="56"/>
    <col min="16" max="16" width="8.88671875" style="56" customWidth="1"/>
    <col min="17" max="17" width="9.5546875" style="56" bestFit="1" customWidth="1"/>
    <col min="18" max="18" width="12.77734375" style="56" customWidth="1"/>
    <col min="19" max="19" width="15.5546875" style="56" bestFit="1" customWidth="1"/>
    <col min="20" max="21" width="8.88671875" style="56"/>
    <col min="22" max="22" width="10.6640625" style="56" customWidth="1"/>
    <col min="23" max="23" width="13" style="56" customWidth="1"/>
    <col min="24" max="16384" width="8.88671875" style="56"/>
  </cols>
  <sheetData>
    <row r="1" spans="1:19" ht="7.8" customHeight="1"/>
    <row r="2" spans="1:19" ht="18">
      <c r="A2" s="79" t="s">
        <v>181</v>
      </c>
      <c r="B2" s="79"/>
      <c r="C2" s="79"/>
      <c r="D2" s="79"/>
      <c r="F2" s="80" t="s">
        <v>186</v>
      </c>
      <c r="G2" s="81"/>
      <c r="H2" s="81"/>
      <c r="I2" s="81"/>
      <c r="K2" s="80" t="str">
        <f>Sheet1!U1</f>
        <v>Region wise category sales</v>
      </c>
      <c r="L2" s="81"/>
      <c r="M2" s="81"/>
      <c r="N2" s="81"/>
      <c r="P2" s="83" t="s">
        <v>191</v>
      </c>
      <c r="Q2" s="83"/>
      <c r="R2" s="83"/>
      <c r="S2" s="57"/>
    </row>
    <row r="3" spans="1:19">
      <c r="A3" s="37" t="s">
        <v>180</v>
      </c>
      <c r="B3" s="38" t="s">
        <v>29</v>
      </c>
      <c r="C3" s="39" t="s">
        <v>7</v>
      </c>
      <c r="D3" s="39" t="s">
        <v>27</v>
      </c>
      <c r="F3" s="52" t="s">
        <v>185</v>
      </c>
      <c r="G3" s="52" t="s">
        <v>6</v>
      </c>
      <c r="H3" s="52" t="s">
        <v>7</v>
      </c>
      <c r="I3" s="52" t="s">
        <v>27</v>
      </c>
      <c r="J3" s="58"/>
      <c r="K3" s="53" t="s">
        <v>1</v>
      </c>
      <c r="L3" s="52" t="str">
        <f>Sheet1!V2</f>
        <v>Electronics</v>
      </c>
      <c r="M3" s="52" t="str">
        <f>Sheet1!W2</f>
        <v>Fashion</v>
      </c>
      <c r="N3" s="52" t="str">
        <f>Sheet1!X2</f>
        <v>Furniture</v>
      </c>
      <c r="O3" s="58"/>
      <c r="P3" s="78" t="s">
        <v>187</v>
      </c>
      <c r="Q3" s="78" t="s">
        <v>37</v>
      </c>
      <c r="R3" s="78" t="s">
        <v>38</v>
      </c>
    </row>
    <row r="4" spans="1:19">
      <c r="A4" s="59" t="s">
        <v>8</v>
      </c>
      <c r="B4" s="60">
        <v>701000</v>
      </c>
      <c r="C4" s="61">
        <v>123750</v>
      </c>
      <c r="D4" s="62">
        <f>C4/B4</f>
        <v>0.17653352353780313</v>
      </c>
      <c r="F4" s="63" t="s">
        <v>10</v>
      </c>
      <c r="G4" s="63">
        <v>2106000</v>
      </c>
      <c r="H4" s="63">
        <v>315900</v>
      </c>
      <c r="I4" s="63">
        <v>2.6999999999999993</v>
      </c>
      <c r="K4" s="64" t="str">
        <f>Sheet1!U3</f>
        <v>North</v>
      </c>
      <c r="L4" s="63">
        <f>Sheet1!V3</f>
        <v>451000</v>
      </c>
      <c r="M4" s="63">
        <f>Sheet1!W3</f>
        <v>128000</v>
      </c>
      <c r="N4" s="63">
        <f>Sheet1!X3</f>
        <v>122000</v>
      </c>
      <c r="P4" s="63" t="s">
        <v>89</v>
      </c>
      <c r="Q4" s="63">
        <v>1795200</v>
      </c>
      <c r="R4" s="63">
        <v>335890</v>
      </c>
    </row>
    <row r="5" spans="1:19">
      <c r="A5" s="59" t="s">
        <v>11</v>
      </c>
      <c r="B5" s="60">
        <v>1286200</v>
      </c>
      <c r="C5" s="61">
        <v>230540</v>
      </c>
      <c r="D5" s="62">
        <f t="shared" ref="D5:D7" si="0">C5/B5</f>
        <v>0.17924117555590111</v>
      </c>
      <c r="F5" s="63" t="s">
        <v>15</v>
      </c>
      <c r="G5" s="63">
        <v>392200</v>
      </c>
      <c r="H5" s="63">
        <v>78440</v>
      </c>
      <c r="I5" s="63">
        <v>3.4000000000000008</v>
      </c>
      <c r="K5" s="64" t="str">
        <f>Sheet1!U4</f>
        <v>South</v>
      </c>
      <c r="L5" s="63">
        <f>Sheet1!V4</f>
        <v>874000</v>
      </c>
      <c r="M5" s="63">
        <f>Sheet1!W4</f>
        <v>72200</v>
      </c>
      <c r="N5" s="63">
        <f>Sheet1!X4</f>
        <v>340000</v>
      </c>
      <c r="P5" s="63" t="s">
        <v>90</v>
      </c>
      <c r="Q5" s="63">
        <v>1520000</v>
      </c>
      <c r="R5" s="63">
        <v>262700</v>
      </c>
    </row>
    <row r="6" spans="1:19">
      <c r="A6" s="59" t="s">
        <v>13</v>
      </c>
      <c r="B6" s="60">
        <v>860000</v>
      </c>
      <c r="C6" s="61">
        <v>148750</v>
      </c>
      <c r="D6" s="62">
        <f t="shared" si="0"/>
        <v>0.17296511627906977</v>
      </c>
      <c r="F6" s="63" t="s">
        <v>18</v>
      </c>
      <c r="G6" s="63">
        <v>817000</v>
      </c>
      <c r="H6" s="63">
        <v>204250</v>
      </c>
      <c r="I6" s="63">
        <v>3.75</v>
      </c>
      <c r="K6" s="64" t="str">
        <f>Sheet1!U5</f>
        <v>East</v>
      </c>
      <c r="L6" s="63">
        <f>Sheet1!V5</f>
        <v>620000</v>
      </c>
      <c r="M6" s="63">
        <f>Sheet1!W5</f>
        <v>85000</v>
      </c>
      <c r="N6" s="63">
        <f>Sheet1!X5</f>
        <v>155000</v>
      </c>
      <c r="P6" s="63" t="s">
        <v>88</v>
      </c>
      <c r="Q6" s="63">
        <v>3315200</v>
      </c>
      <c r="R6" s="63">
        <v>598590</v>
      </c>
    </row>
    <row r="7" spans="1:19" ht="15" thickBot="1">
      <c r="A7" s="65" t="s">
        <v>16</v>
      </c>
      <c r="B7" s="66">
        <v>468000</v>
      </c>
      <c r="C7" s="67">
        <v>95550</v>
      </c>
      <c r="D7" s="62">
        <f t="shared" si="0"/>
        <v>0.20416666666666666</v>
      </c>
      <c r="K7" s="64" t="str">
        <f>Sheet1!U6</f>
        <v>West</v>
      </c>
      <c r="L7" s="63">
        <f>Sheet1!V6</f>
        <v>161000</v>
      </c>
      <c r="M7" s="63">
        <f>Sheet1!W6</f>
        <v>107000</v>
      </c>
      <c r="N7" s="63">
        <f>Sheet1!X6</f>
        <v>200000</v>
      </c>
    </row>
    <row r="10" spans="1:19" ht="14.4" customHeight="1"/>
    <row r="22" spans="1:19" ht="4.8" customHeight="1"/>
    <row r="23" spans="1:19" ht="4.8" customHeight="1" thickBot="1"/>
    <row r="24" spans="1:19" ht="16.2" thickBot="1">
      <c r="A24" s="68" t="str">
        <f>Sheet9!A3</f>
        <v>Months (Date)</v>
      </c>
      <c r="B24" s="68" t="str">
        <f>Sheet9!B3</f>
        <v>Days (Date)</v>
      </c>
      <c r="C24" s="68" t="str">
        <f>Sheet9!C3</f>
        <v>Sum of Sales</v>
      </c>
      <c r="D24" s="68" t="str">
        <f>Sheet9!D3</f>
        <v>Sum of Profit</v>
      </c>
      <c r="E24" s="68" t="str">
        <f>Sheet9!E3</f>
        <v>Sum of Profit%</v>
      </c>
      <c r="G24" s="82" t="str">
        <f>Sheet1!O24</f>
        <v>Top 5 Products by profit</v>
      </c>
      <c r="H24" s="82"/>
      <c r="I24" s="82"/>
      <c r="K24" s="80" t="str">
        <f>Sheet1!N9</f>
        <v>Top 5 Products by Sales</v>
      </c>
      <c r="L24" s="80"/>
      <c r="M24" s="80"/>
      <c r="R24" s="77"/>
      <c r="S24" s="77"/>
    </row>
    <row r="25" spans="1:19" ht="15" thickBot="1">
      <c r="A25" s="68" t="str">
        <f>Sheet9!A4</f>
        <v>Jan</v>
      </c>
      <c r="B25" s="69" t="str">
        <f>Sheet9!B4</f>
        <v>01-Jan</v>
      </c>
      <c r="C25" s="70">
        <f>Sheet9!C4</f>
        <v>250000</v>
      </c>
      <c r="D25" s="70">
        <f>Sheet9!D4</f>
        <v>37500</v>
      </c>
      <c r="E25" s="71">
        <f>Sheet9!E4</f>
        <v>0.15</v>
      </c>
      <c r="G25" s="36" t="s">
        <v>190</v>
      </c>
      <c r="H25" s="36" t="s">
        <v>7</v>
      </c>
      <c r="I25" s="36" t="s">
        <v>2</v>
      </c>
      <c r="K25" s="36" t="s">
        <v>190</v>
      </c>
      <c r="L25" s="36" t="str">
        <f>Sheet1!O10</f>
        <v>Sales</v>
      </c>
      <c r="M25" s="36" t="str">
        <f>Sheet1!P10</f>
        <v>Product</v>
      </c>
    </row>
    <row r="26" spans="1:19" ht="15" thickBot="1">
      <c r="A26" s="68"/>
      <c r="B26" s="69" t="str">
        <f>Sheet9!B5</f>
        <v>02-Jan</v>
      </c>
      <c r="C26" s="70">
        <f>Sheet9!C5</f>
        <v>200000</v>
      </c>
      <c r="D26" s="70">
        <f>Sheet9!D5</f>
        <v>30000</v>
      </c>
      <c r="E26" s="71">
        <f>Sheet9!E5</f>
        <v>0.15</v>
      </c>
      <c r="G26" s="72">
        <f>Sheet1!N26</f>
        <v>1</v>
      </c>
      <c r="H26" s="72">
        <f>Sheet1!O26</f>
        <v>105000</v>
      </c>
      <c r="I26" s="72" t="str">
        <f>Sheet1!P26</f>
        <v>Laptop</v>
      </c>
      <c r="K26" s="63">
        <f>Sheet1!N11</f>
        <v>1</v>
      </c>
      <c r="L26" s="63">
        <f>Sheet1!O11</f>
        <v>700000</v>
      </c>
      <c r="M26" s="63" t="str">
        <f>Sheet1!P11</f>
        <v>Laptop</v>
      </c>
    </row>
    <row r="27" spans="1:19" ht="15" thickBot="1">
      <c r="A27" s="68"/>
      <c r="B27" s="69" t="str">
        <f>Sheet9!B6</f>
        <v>03-Jan</v>
      </c>
      <c r="C27" s="70">
        <f>Sheet9!C6</f>
        <v>30000</v>
      </c>
      <c r="D27" s="70">
        <f>Sheet9!D6</f>
        <v>6000</v>
      </c>
      <c r="E27" s="71">
        <f>Sheet9!E6</f>
        <v>0.2</v>
      </c>
      <c r="G27" s="63">
        <f>Sheet1!N27</f>
        <v>2</v>
      </c>
      <c r="H27" s="63">
        <f>Sheet1!O27</f>
        <v>52500</v>
      </c>
      <c r="I27" s="63" t="str">
        <f>Sheet1!P27</f>
        <v>Bed</v>
      </c>
      <c r="K27" s="63">
        <f>Sheet1!N12</f>
        <v>2</v>
      </c>
      <c r="L27" s="63">
        <f>Sheet1!O12</f>
        <v>600000</v>
      </c>
      <c r="M27" s="63" t="str">
        <f>Sheet1!P12</f>
        <v>Mobile</v>
      </c>
    </row>
    <row r="28" spans="1:19" ht="15" thickBot="1">
      <c r="A28" s="68"/>
      <c r="B28" s="69" t="str">
        <f>Sheet9!B7</f>
        <v>04-Jan</v>
      </c>
      <c r="C28" s="70">
        <f>Sheet9!C7</f>
        <v>60000</v>
      </c>
      <c r="D28" s="70">
        <f>Sheet9!D7</f>
        <v>15000</v>
      </c>
      <c r="E28" s="71">
        <f>Sheet9!E7</f>
        <v>0.25</v>
      </c>
      <c r="G28" s="63">
        <f>Sheet1!N28</f>
        <v>3</v>
      </c>
      <c r="H28" s="63">
        <f>Sheet1!O28</f>
        <v>15400</v>
      </c>
      <c r="I28" s="63" t="str">
        <f>Sheet1!P28</f>
        <v>Jacket</v>
      </c>
      <c r="K28" s="63">
        <f>Sheet1!N13</f>
        <v>3</v>
      </c>
      <c r="L28" s="63">
        <f>Sheet1!O13</f>
        <v>210000</v>
      </c>
      <c r="M28" s="63" t="str">
        <f>Sheet1!P13</f>
        <v>Bed</v>
      </c>
    </row>
    <row r="29" spans="1:19" ht="15" thickBot="1">
      <c r="A29" s="68"/>
      <c r="B29" s="69" t="str">
        <f>Sheet9!B8</f>
        <v>05-Jan</v>
      </c>
      <c r="C29" s="70">
        <f>Sheet9!C8</f>
        <v>120000</v>
      </c>
      <c r="D29" s="70">
        <f>Sheet9!D8</f>
        <v>18000</v>
      </c>
      <c r="E29" s="71">
        <f>Sheet9!E8</f>
        <v>0.15</v>
      </c>
      <c r="G29" s="63">
        <f>Sheet1!N29</f>
        <v>4</v>
      </c>
      <c r="H29" s="63">
        <f>Sheet1!O29</f>
        <v>15000</v>
      </c>
      <c r="I29" s="63" t="str">
        <f>Sheet1!P29</f>
        <v>Sofa</v>
      </c>
      <c r="K29" s="63">
        <f>Sheet1!N14</f>
        <v>4</v>
      </c>
      <c r="L29" s="63">
        <f>Sheet1!O14</f>
        <v>120000</v>
      </c>
      <c r="M29" s="63" t="str">
        <f>Sheet1!P14</f>
        <v>Tablet</v>
      </c>
    </row>
    <row r="30" spans="1:19" ht="15" thickBot="1">
      <c r="A30" s="68"/>
      <c r="B30" s="69" t="str">
        <f>Sheet9!B9</f>
        <v>06-Jan</v>
      </c>
      <c r="C30" s="70">
        <f>Sheet9!C9</f>
        <v>20000</v>
      </c>
      <c r="D30" s="70">
        <f>Sheet9!D9</f>
        <v>4000</v>
      </c>
      <c r="E30" s="71">
        <f>Sheet9!E9</f>
        <v>0.2</v>
      </c>
      <c r="G30" s="63">
        <f>Sheet1!N30</f>
        <v>5</v>
      </c>
      <c r="H30" s="63">
        <f>Sheet1!O30</f>
        <v>7500</v>
      </c>
      <c r="I30" s="63" t="str">
        <f>Sheet1!P30</f>
        <v>Chair</v>
      </c>
      <c r="K30" s="63">
        <f>Sheet1!N15</f>
        <v>5</v>
      </c>
      <c r="L30" s="63">
        <f>Sheet1!O15</f>
        <v>80000</v>
      </c>
      <c r="M30" s="63" t="str">
        <f>Sheet1!P15</f>
        <v>TV</v>
      </c>
    </row>
    <row r="31" spans="1:19" ht="15" thickBot="1">
      <c r="A31" s="68"/>
      <c r="B31" s="69" t="str">
        <f>Sheet9!B10</f>
        <v>07-Jan</v>
      </c>
      <c r="C31" s="70">
        <f>Sheet9!C10</f>
        <v>30000</v>
      </c>
      <c r="D31" s="70">
        <f>Sheet9!D10</f>
        <v>7500</v>
      </c>
      <c r="E31" s="71">
        <f>Sheet9!E10</f>
        <v>0.25</v>
      </c>
    </row>
    <row r="32" spans="1:19" ht="15" thickBot="1">
      <c r="A32" s="68"/>
      <c r="B32" s="69" t="str">
        <f>Sheet9!B11</f>
        <v>08-Jan</v>
      </c>
      <c r="C32" s="70">
        <f>Sheet9!C11</f>
        <v>36000</v>
      </c>
      <c r="D32" s="70">
        <f>Sheet9!D11</f>
        <v>5400</v>
      </c>
      <c r="E32" s="71">
        <f>Sheet9!E11</f>
        <v>0.15</v>
      </c>
    </row>
    <row r="33" spans="1:5" ht="15" thickBot="1">
      <c r="A33" s="68"/>
      <c r="B33" s="69" t="str">
        <f>Sheet9!B12</f>
        <v>09-Jan</v>
      </c>
      <c r="C33" s="70">
        <f>Sheet9!C12</f>
        <v>35000</v>
      </c>
      <c r="D33" s="70">
        <f>Sheet9!D12</f>
        <v>7000</v>
      </c>
      <c r="E33" s="71">
        <f>Sheet9!E12</f>
        <v>0.2</v>
      </c>
    </row>
    <row r="34" spans="1:5" ht="15" thickBot="1">
      <c r="A34" s="68"/>
      <c r="B34" s="69" t="str">
        <f>Sheet9!B13</f>
        <v>10-Jan</v>
      </c>
      <c r="C34" s="70">
        <f>Sheet9!C13</f>
        <v>120000</v>
      </c>
      <c r="D34" s="70">
        <f>Sheet9!D13</f>
        <v>30000</v>
      </c>
      <c r="E34" s="71">
        <f>Sheet9!E13</f>
        <v>0.25</v>
      </c>
    </row>
    <row r="35" spans="1:5" ht="15" thickBot="1">
      <c r="A35" s="68"/>
      <c r="B35" s="69" t="str">
        <f>Sheet9!B14</f>
        <v>11-Jan</v>
      </c>
      <c r="C35" s="70">
        <f>Sheet9!C14</f>
        <v>100000</v>
      </c>
      <c r="D35" s="70">
        <f>Sheet9!D14</f>
        <v>15000</v>
      </c>
      <c r="E35" s="71">
        <f>Sheet9!E14</f>
        <v>0.15</v>
      </c>
    </row>
    <row r="36" spans="1:5" ht="15" thickBot="1">
      <c r="A36" s="68"/>
      <c r="B36" s="69" t="str">
        <f>Sheet9!B15</f>
        <v>12-Jan</v>
      </c>
      <c r="C36" s="70">
        <f>Sheet9!C15</f>
        <v>30000</v>
      </c>
      <c r="D36" s="70">
        <f>Sheet9!D15</f>
        <v>6000</v>
      </c>
      <c r="E36" s="71">
        <f>Sheet9!E15</f>
        <v>0.2</v>
      </c>
    </row>
    <row r="37" spans="1:5" ht="15" thickBot="1">
      <c r="A37" s="68"/>
      <c r="B37" s="69" t="str">
        <f>Sheet9!B16</f>
        <v>13-Jan</v>
      </c>
      <c r="C37" s="70">
        <f>Sheet9!C16</f>
        <v>50000</v>
      </c>
      <c r="D37" s="70">
        <f>Sheet9!D16</f>
        <v>12500</v>
      </c>
      <c r="E37" s="71">
        <f>Sheet9!E16</f>
        <v>0.25</v>
      </c>
    </row>
    <row r="38" spans="1:5" ht="15" thickBot="1">
      <c r="A38" s="68"/>
      <c r="B38" s="69" t="str">
        <f>Sheet9!B17</f>
        <v>14-Jan</v>
      </c>
      <c r="C38" s="70">
        <f>Sheet9!C17</f>
        <v>84000</v>
      </c>
      <c r="D38" s="70">
        <f>Sheet9!D17</f>
        <v>12600</v>
      </c>
      <c r="E38" s="71">
        <f>Sheet9!E17</f>
        <v>0.15</v>
      </c>
    </row>
    <row r="39" spans="1:5" ht="15" thickBot="1">
      <c r="A39" s="68"/>
      <c r="B39" s="69" t="str">
        <f>Sheet9!B18</f>
        <v>15-Jan</v>
      </c>
      <c r="C39" s="70">
        <f>Sheet9!C18</f>
        <v>27000</v>
      </c>
      <c r="D39" s="70">
        <f>Sheet9!D18</f>
        <v>5400</v>
      </c>
      <c r="E39" s="71">
        <f>Sheet9!E18</f>
        <v>0.2</v>
      </c>
    </row>
    <row r="40" spans="1:5" ht="15" thickBot="1">
      <c r="A40" s="68"/>
      <c r="B40" s="69" t="str">
        <f>Sheet9!B19</f>
        <v>16-Jan</v>
      </c>
      <c r="C40" s="70">
        <f>Sheet9!C19</f>
        <v>50000</v>
      </c>
      <c r="D40" s="70">
        <f>Sheet9!D19</f>
        <v>12500</v>
      </c>
      <c r="E40" s="71">
        <f>Sheet9!E19</f>
        <v>0.25</v>
      </c>
    </row>
    <row r="41" spans="1:5" ht="15" thickBot="1">
      <c r="A41" s="68"/>
      <c r="B41" s="69" t="str">
        <f>Sheet9!B20</f>
        <v>17-Jan</v>
      </c>
      <c r="C41" s="70">
        <f>Sheet9!C20</f>
        <v>36000</v>
      </c>
      <c r="D41" s="70">
        <f>Sheet9!D20</f>
        <v>5400</v>
      </c>
      <c r="E41" s="71">
        <f>Sheet9!E20</f>
        <v>0.15</v>
      </c>
    </row>
    <row r="42" spans="1:5" ht="15" thickBot="1">
      <c r="A42" s="68"/>
      <c r="B42" s="69" t="str">
        <f>Sheet9!B21</f>
        <v>18-Jan</v>
      </c>
      <c r="C42" s="70">
        <f>Sheet9!C21</f>
        <v>25200</v>
      </c>
      <c r="D42" s="70">
        <f>Sheet9!D21</f>
        <v>5040</v>
      </c>
      <c r="E42" s="71">
        <f>Sheet9!E21</f>
        <v>0.2</v>
      </c>
    </row>
    <row r="43" spans="1:5" ht="15" thickBot="1">
      <c r="A43" s="68"/>
      <c r="B43" s="69" t="str">
        <f>Sheet9!B22</f>
        <v>19-Jan</v>
      </c>
      <c r="C43" s="70">
        <f>Sheet9!C22</f>
        <v>24000</v>
      </c>
      <c r="D43" s="70">
        <f>Sheet9!D22</f>
        <v>6000</v>
      </c>
      <c r="E43" s="71">
        <f>Sheet9!E22</f>
        <v>0.25</v>
      </c>
    </row>
    <row r="44" spans="1:5" ht="15" thickBot="1">
      <c r="A44" s="68"/>
      <c r="B44" s="69" t="str">
        <f>Sheet9!B23</f>
        <v>20-Jan</v>
      </c>
      <c r="C44" s="70">
        <f>Sheet9!C23</f>
        <v>30000</v>
      </c>
      <c r="D44" s="70">
        <f>Sheet9!D23</f>
        <v>4500</v>
      </c>
      <c r="E44" s="71">
        <f>Sheet9!E23</f>
        <v>0.15</v>
      </c>
    </row>
    <row r="45" spans="1:5" ht="15" thickBot="1">
      <c r="A45" s="68"/>
      <c r="B45" s="69" t="str">
        <f>Sheet9!B24</f>
        <v>21-Jan</v>
      </c>
      <c r="C45" s="70">
        <f>Sheet9!C24</f>
        <v>30000</v>
      </c>
      <c r="D45" s="70">
        <f>Sheet9!D24</f>
        <v>6000</v>
      </c>
      <c r="E45" s="71">
        <f>Sheet9!E24</f>
        <v>0.2</v>
      </c>
    </row>
    <row r="46" spans="1:5" ht="15" thickBot="1">
      <c r="A46" s="68"/>
      <c r="B46" s="69" t="str">
        <f>Sheet9!B25</f>
        <v>22-Jan</v>
      </c>
      <c r="C46" s="70">
        <f>Sheet9!C25</f>
        <v>70000</v>
      </c>
      <c r="D46" s="70">
        <f>Sheet9!D25</f>
        <v>17500</v>
      </c>
      <c r="E46" s="71">
        <f>Sheet9!E25</f>
        <v>0.25</v>
      </c>
    </row>
    <row r="47" spans="1:5" ht="15" thickBot="1">
      <c r="A47" s="68"/>
      <c r="B47" s="69" t="str">
        <f>Sheet9!B26</f>
        <v>23-Jan</v>
      </c>
      <c r="C47" s="70">
        <f>Sheet9!C26</f>
        <v>54000</v>
      </c>
      <c r="D47" s="70">
        <f>Sheet9!D26</f>
        <v>8100</v>
      </c>
      <c r="E47" s="71">
        <f>Sheet9!E26</f>
        <v>0.15</v>
      </c>
    </row>
    <row r="48" spans="1:5" ht="15" thickBot="1">
      <c r="A48" s="68"/>
      <c r="B48" s="69" t="str">
        <f>Sheet9!B27</f>
        <v>24-Jan</v>
      </c>
      <c r="C48" s="70">
        <f>Sheet9!C27</f>
        <v>20000</v>
      </c>
      <c r="D48" s="70">
        <f>Sheet9!D27</f>
        <v>4000</v>
      </c>
      <c r="E48" s="71">
        <f>Sheet9!E27</f>
        <v>0.2</v>
      </c>
    </row>
    <row r="49" spans="1:5" ht="15" thickBot="1">
      <c r="A49" s="68"/>
      <c r="B49" s="69" t="str">
        <f>Sheet9!B28</f>
        <v>25-Jan</v>
      </c>
      <c r="C49" s="70">
        <f>Sheet9!C28</f>
        <v>48000</v>
      </c>
      <c r="D49" s="70">
        <f>Sheet9!D28</f>
        <v>12000</v>
      </c>
      <c r="E49" s="71">
        <f>Sheet9!E28</f>
        <v>0.25</v>
      </c>
    </row>
    <row r="50" spans="1:5" ht="15" thickBot="1">
      <c r="A50" s="68"/>
      <c r="B50" s="69" t="str">
        <f>Sheet9!B29</f>
        <v>26-Jan</v>
      </c>
      <c r="C50" s="70">
        <f>Sheet9!C29</f>
        <v>80000</v>
      </c>
      <c r="D50" s="70">
        <f>Sheet9!D29</f>
        <v>12000</v>
      </c>
      <c r="E50" s="71">
        <f>Sheet9!E29</f>
        <v>0.15</v>
      </c>
    </row>
    <row r="51" spans="1:5" ht="15" thickBot="1">
      <c r="A51" s="68"/>
      <c r="B51" s="69" t="str">
        <f>Sheet9!B30</f>
        <v>27-Jan</v>
      </c>
      <c r="C51" s="70">
        <f>Sheet9!C30</f>
        <v>12000</v>
      </c>
      <c r="D51" s="70">
        <f>Sheet9!D30</f>
        <v>2400</v>
      </c>
      <c r="E51" s="71">
        <f>Sheet9!E30</f>
        <v>0.2</v>
      </c>
    </row>
    <row r="52" spans="1:5" ht="15" thickBot="1">
      <c r="A52" s="68"/>
      <c r="B52" s="69" t="str">
        <f>Sheet9!B31</f>
        <v>28-Jan</v>
      </c>
      <c r="C52" s="70">
        <f>Sheet9!C31</f>
        <v>50000</v>
      </c>
      <c r="D52" s="70">
        <f>Sheet9!D31</f>
        <v>12500</v>
      </c>
      <c r="E52" s="71">
        <f>Sheet9!E31</f>
        <v>0.25</v>
      </c>
    </row>
    <row r="53" spans="1:5" ht="15" thickBot="1">
      <c r="A53" s="68"/>
      <c r="B53" s="69" t="str">
        <f>Sheet9!B32</f>
        <v>29-Jan</v>
      </c>
      <c r="C53" s="70">
        <f>Sheet9!C32</f>
        <v>20000</v>
      </c>
      <c r="D53" s="70">
        <f>Sheet9!D32</f>
        <v>3000</v>
      </c>
      <c r="E53" s="71">
        <f>Sheet9!E32</f>
        <v>0.15</v>
      </c>
    </row>
    <row r="54" spans="1:5" ht="15" thickBot="1">
      <c r="A54" s="68"/>
      <c r="B54" s="69" t="str">
        <f>Sheet9!B33</f>
        <v>30-Jan</v>
      </c>
      <c r="C54" s="70">
        <f>Sheet9!C33</f>
        <v>9000</v>
      </c>
      <c r="D54" s="70">
        <f>Sheet9!D33</f>
        <v>1800</v>
      </c>
      <c r="E54" s="71">
        <f>Sheet9!E33</f>
        <v>0.2</v>
      </c>
    </row>
    <row r="55" spans="1:5" ht="15" thickBot="1">
      <c r="A55" s="68"/>
      <c r="B55" s="69" t="str">
        <f>Sheet9!B34</f>
        <v>31-Jan</v>
      </c>
      <c r="C55" s="70">
        <f>Sheet9!C34</f>
        <v>45000</v>
      </c>
      <c r="D55" s="70">
        <f>Sheet9!D34</f>
        <v>11250</v>
      </c>
      <c r="E55" s="71">
        <f>Sheet9!E34</f>
        <v>0.25</v>
      </c>
    </row>
    <row r="56" spans="1:5" ht="15" thickBot="1">
      <c r="A56" s="68" t="str">
        <f>Sheet9!A35</f>
        <v>Jan Total</v>
      </c>
      <c r="B56" s="69">
        <f>Sheet9!B35</f>
        <v>0</v>
      </c>
      <c r="C56" s="70">
        <f>Sheet9!C35</f>
        <v>1795200</v>
      </c>
      <c r="D56" s="70">
        <f>Sheet9!D35</f>
        <v>335890</v>
      </c>
      <c r="E56" s="71">
        <f>Sheet9!E35</f>
        <v>6.1500000000000021</v>
      </c>
    </row>
    <row r="57" spans="1:5" ht="15" thickBot="1">
      <c r="A57" s="68"/>
      <c r="B57" s="69" t="str">
        <f>Sheet9!B36</f>
        <v>01-Feb</v>
      </c>
      <c r="C57" s="70">
        <f>Sheet9!C36</f>
        <v>25000</v>
      </c>
      <c r="D57" s="70">
        <f>Sheet9!D36</f>
        <v>3750</v>
      </c>
      <c r="E57" s="71">
        <f>Sheet9!E36</f>
        <v>0.15</v>
      </c>
    </row>
    <row r="58" spans="1:5" ht="15" thickBot="1">
      <c r="A58" s="68"/>
      <c r="B58" s="69" t="str">
        <f>Sheet9!B37</f>
        <v>02-Feb</v>
      </c>
      <c r="C58" s="70">
        <f>Sheet9!C37</f>
        <v>16000</v>
      </c>
      <c r="D58" s="70">
        <f>Sheet9!D37</f>
        <v>3200</v>
      </c>
      <c r="E58" s="71">
        <f>Sheet9!E37</f>
        <v>0.2</v>
      </c>
    </row>
    <row r="59" spans="1:5" ht="15" thickBot="1">
      <c r="A59" s="68"/>
      <c r="B59" s="69" t="str">
        <f>Sheet9!B38</f>
        <v>03-Feb</v>
      </c>
      <c r="C59" s="70">
        <f>Sheet9!C38</f>
        <v>60000</v>
      </c>
      <c r="D59" s="70">
        <f>Sheet9!D38</f>
        <v>15000</v>
      </c>
      <c r="E59" s="71">
        <f>Sheet9!E38</f>
        <v>0.25</v>
      </c>
    </row>
    <row r="60" spans="1:5" ht="15" thickBot="1">
      <c r="A60" s="68"/>
      <c r="B60" s="69" t="str">
        <f>Sheet9!B39</f>
        <v>04-Feb</v>
      </c>
      <c r="C60" s="70">
        <f>Sheet9!C39</f>
        <v>66000</v>
      </c>
      <c r="D60" s="70">
        <f>Sheet9!D39</f>
        <v>9900</v>
      </c>
      <c r="E60" s="71">
        <f>Sheet9!E39</f>
        <v>0.15</v>
      </c>
    </row>
    <row r="61" spans="1:5" ht="15" thickBot="1">
      <c r="A61" s="68"/>
      <c r="B61" s="69" t="str">
        <f>Sheet9!B40</f>
        <v>05-Feb</v>
      </c>
      <c r="C61" s="70">
        <f>Sheet9!C40</f>
        <v>15000</v>
      </c>
      <c r="D61" s="70">
        <f>Sheet9!D40</f>
        <v>3000</v>
      </c>
      <c r="E61" s="71">
        <f>Sheet9!E40</f>
        <v>0.2</v>
      </c>
    </row>
    <row r="62" spans="1:5" ht="15" thickBot="1">
      <c r="A62" s="68"/>
      <c r="B62" s="69" t="str">
        <f>Sheet9!B41</f>
        <v>06-Feb</v>
      </c>
      <c r="C62" s="70">
        <f>Sheet9!C41</f>
        <v>24000</v>
      </c>
      <c r="D62" s="70">
        <f>Sheet9!D41</f>
        <v>6000</v>
      </c>
      <c r="E62" s="71">
        <f>Sheet9!E41</f>
        <v>0.25</v>
      </c>
    </row>
    <row r="63" spans="1:5" ht="15" thickBot="1">
      <c r="A63" s="68"/>
      <c r="B63" s="69" t="str">
        <f>Sheet9!B42</f>
        <v>07-Feb</v>
      </c>
      <c r="C63" s="70">
        <f>Sheet9!C42</f>
        <v>60000</v>
      </c>
      <c r="D63" s="70">
        <f>Sheet9!D42</f>
        <v>9000</v>
      </c>
      <c r="E63" s="71">
        <f>Sheet9!E42</f>
        <v>0.15</v>
      </c>
    </row>
    <row r="64" spans="1:5" ht="15" thickBot="1">
      <c r="A64" s="68"/>
      <c r="B64" s="69" t="str">
        <f>Sheet9!B43</f>
        <v>08-Feb</v>
      </c>
      <c r="C64" s="70">
        <f>Sheet9!C43</f>
        <v>16000</v>
      </c>
      <c r="D64" s="70">
        <f>Sheet9!D43</f>
        <v>3200</v>
      </c>
      <c r="E64" s="71">
        <f>Sheet9!E43</f>
        <v>0.2</v>
      </c>
    </row>
    <row r="65" spans="1:5" ht="15" thickBot="1">
      <c r="A65" s="68"/>
      <c r="B65" s="69" t="str">
        <f>Sheet9!B44</f>
        <v>09-Feb</v>
      </c>
      <c r="C65" s="70">
        <f>Sheet9!C44</f>
        <v>40000</v>
      </c>
      <c r="D65" s="70">
        <f>Sheet9!D44</f>
        <v>10000</v>
      </c>
      <c r="E65" s="71">
        <f>Sheet9!E44</f>
        <v>0.25</v>
      </c>
    </row>
    <row r="66" spans="1:5" ht="15" thickBot="1">
      <c r="A66" s="68"/>
      <c r="B66" s="69" t="str">
        <f>Sheet9!B45</f>
        <v>10-Feb</v>
      </c>
      <c r="C66" s="70">
        <f>Sheet9!C45</f>
        <v>25000</v>
      </c>
      <c r="D66" s="70">
        <f>Sheet9!D45</f>
        <v>3750</v>
      </c>
      <c r="E66" s="71">
        <f>Sheet9!E45</f>
        <v>0.15</v>
      </c>
    </row>
    <row r="67" spans="1:5" ht="15" thickBot="1">
      <c r="A67" s="68"/>
      <c r="B67" s="69" t="str">
        <f>Sheet9!B46</f>
        <v>11-Feb</v>
      </c>
      <c r="C67" s="70">
        <f>Sheet9!C46</f>
        <v>18000</v>
      </c>
      <c r="D67" s="70">
        <f>Sheet9!D46</f>
        <v>3600</v>
      </c>
      <c r="E67" s="71">
        <f>Sheet9!E46</f>
        <v>0.2</v>
      </c>
    </row>
    <row r="68" spans="1:5" ht="15" thickBot="1">
      <c r="A68" s="68"/>
      <c r="B68" s="69" t="str">
        <f>Sheet9!B47</f>
        <v>12-Feb</v>
      </c>
      <c r="C68" s="70">
        <f>Sheet9!C47</f>
        <v>56000</v>
      </c>
      <c r="D68" s="70">
        <f>Sheet9!D47</f>
        <v>14000</v>
      </c>
      <c r="E68" s="71">
        <f>Sheet9!E47</f>
        <v>0.25</v>
      </c>
    </row>
    <row r="69" spans="1:5" ht="15" thickBot="1">
      <c r="A69" s="68"/>
      <c r="B69" s="69" t="str">
        <f>Sheet9!B48</f>
        <v>13-Feb</v>
      </c>
      <c r="C69" s="70">
        <f>Sheet9!C48</f>
        <v>70000</v>
      </c>
      <c r="D69" s="70">
        <f>Sheet9!D48</f>
        <v>10500</v>
      </c>
      <c r="E69" s="71">
        <f>Sheet9!E48</f>
        <v>0.15</v>
      </c>
    </row>
    <row r="70" spans="1:5" ht="15" thickBot="1">
      <c r="A70" s="68"/>
      <c r="B70" s="69" t="str">
        <f>Sheet9!B49</f>
        <v>14-Feb</v>
      </c>
      <c r="C70" s="70">
        <f>Sheet9!C49</f>
        <v>7000</v>
      </c>
      <c r="D70" s="70">
        <f>Sheet9!D49</f>
        <v>1400</v>
      </c>
      <c r="E70" s="71">
        <f>Sheet9!E49</f>
        <v>0.2</v>
      </c>
    </row>
    <row r="71" spans="1:5" ht="15" thickBot="1">
      <c r="A71" s="68"/>
      <c r="B71" s="69" t="str">
        <f>Sheet9!B50</f>
        <v>15-Feb</v>
      </c>
      <c r="C71" s="70">
        <f>Sheet9!C50</f>
        <v>90000</v>
      </c>
      <c r="D71" s="70">
        <f>Sheet9!D50</f>
        <v>22500</v>
      </c>
      <c r="E71" s="71">
        <f>Sheet9!E50</f>
        <v>0.25</v>
      </c>
    </row>
    <row r="72" spans="1:5" ht="15" thickBot="1">
      <c r="A72" s="68"/>
      <c r="B72" s="69" t="str">
        <f>Sheet9!B51</f>
        <v>16-Feb</v>
      </c>
      <c r="C72" s="70">
        <f>Sheet9!C51</f>
        <v>400000</v>
      </c>
      <c r="D72" s="70">
        <f>Sheet9!D51</f>
        <v>60000</v>
      </c>
      <c r="E72" s="71">
        <f>Sheet9!E51</f>
        <v>0.15</v>
      </c>
    </row>
    <row r="73" spans="1:5" ht="15" thickBot="1">
      <c r="A73" s="68"/>
      <c r="B73" s="69" t="str">
        <f>Sheet9!B52</f>
        <v>17-Feb</v>
      </c>
      <c r="C73" s="70">
        <f>Sheet9!C52</f>
        <v>42000</v>
      </c>
      <c r="D73" s="70">
        <f>Sheet9!D52</f>
        <v>8400</v>
      </c>
      <c r="E73" s="71">
        <f>Sheet9!E52</f>
        <v>0.2</v>
      </c>
    </row>
    <row r="74" spans="1:5" ht="15" thickBot="1">
      <c r="A74" s="68"/>
      <c r="B74" s="69" t="str">
        <f>Sheet9!B53</f>
        <v>18-Feb</v>
      </c>
      <c r="C74" s="70">
        <f>Sheet9!C53</f>
        <v>40000</v>
      </c>
      <c r="D74" s="70">
        <f>Sheet9!D53</f>
        <v>8000</v>
      </c>
      <c r="E74" s="71">
        <f>Sheet9!E53</f>
        <v>0.2</v>
      </c>
    </row>
  </sheetData>
  <mergeCells count="6">
    <mergeCell ref="P2:R2"/>
    <mergeCell ref="K24:M24"/>
    <mergeCell ref="G24:I24"/>
    <mergeCell ref="F2:I2"/>
    <mergeCell ref="A2:D2"/>
    <mergeCell ref="K2:N2"/>
  </mergeCells>
  <conditionalFormatting sqref="B4:B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C7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{FFA4FE35-B315-43E5-AD47-C0B1807D787B}</x14:id>
        </ext>
      </extLst>
    </cfRule>
  </conditionalFormatting>
  <conditionalFormatting sqref="D4:D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6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{6E25394D-DC03-4CEA-A973-0EFD8B448FBE}</x14:id>
        </ext>
      </extLst>
    </cfRule>
  </conditionalFormatting>
  <conditionalFormatting sqref="H26:H30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{B06DDA0C-DEC4-4F19-8715-E761313A219A}</x14:id>
        </ext>
      </extLst>
    </cfRule>
  </conditionalFormatting>
  <conditionalFormatting sqref="H26:I30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{ADF0C238-2B86-417D-A6DB-41126F3B6F19}</x14:id>
        </ext>
      </extLst>
    </cfRule>
  </conditionalFormatting>
  <conditionalFormatting sqref="I4:I6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6:I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:L3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{5C7D0496-4FEE-49BC-8BF9-F894F260E92C}</x14:id>
        </ext>
      </extLst>
    </cfRule>
  </conditionalFormatting>
  <conditionalFormatting sqref="L4:N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:M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{2F08BFB2-07C7-4F01-85A7-6847DE6109FF}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A4FE35-B315-43E5-AD47-C0B1807D787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C4:C7</xm:sqref>
        </x14:conditionalFormatting>
        <x14:conditionalFormatting xmlns:xm="http://schemas.microsoft.com/office/excel/2006/main">
          <x14:cfRule type="dataBar" id="{6E25394D-DC03-4CEA-A973-0EFD8B448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H4:H6</xm:sqref>
        </x14:conditionalFormatting>
        <x14:conditionalFormatting xmlns:xm="http://schemas.microsoft.com/office/excel/2006/main">
          <x14:cfRule type="dataBar" id="{B06DDA0C-DEC4-4F19-8715-E761313A21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H26:H30</xm:sqref>
        </x14:conditionalFormatting>
        <x14:conditionalFormatting xmlns:xm="http://schemas.microsoft.com/office/excel/2006/main">
          <x14:cfRule type="dataBar" id="{ADF0C238-2B86-417D-A6DB-41126F3B6F1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H26:I30</xm:sqref>
        </x14:conditionalFormatting>
        <x14:conditionalFormatting xmlns:xm="http://schemas.microsoft.com/office/excel/2006/main">
          <x14:cfRule type="dataBar" id="{5C7D0496-4FEE-49BC-8BF9-F894F260E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L26:L30</xm:sqref>
        </x14:conditionalFormatting>
        <x14:conditionalFormatting xmlns:xm="http://schemas.microsoft.com/office/excel/2006/main">
          <x14:cfRule type="dataBar" id="{2F08BFB2-07C7-4F01-85A7-6847DE6109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M4:M7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8C63-1C89-4C6B-96EC-45E53B4C928E}">
  <dimension ref="A1"/>
  <sheetViews>
    <sheetView tabSelected="1" topLeftCell="B1" workbookViewId="0">
      <selection activeCell="W12" sqref="W12"/>
    </sheetView>
  </sheetViews>
  <sheetFormatPr defaultRowHeight="14.4"/>
  <cols>
    <col min="1" max="16384" width="8.88671875" style="51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3532-8066-4812-A5B7-98DE04D124D3}">
  <dimension ref="A1:I206"/>
  <sheetViews>
    <sheetView workbookViewId="0">
      <selection activeCell="B55" sqref="B55:XFD142"/>
    </sheetView>
  </sheetViews>
  <sheetFormatPr defaultRowHeight="14.4"/>
  <sheetData>
    <row r="1" spans="1:2" ht="21">
      <c r="A1" s="11" t="s">
        <v>28</v>
      </c>
      <c r="B1" s="11"/>
    </row>
    <row r="3" spans="1:2">
      <c r="B3" s="12" t="s">
        <v>30</v>
      </c>
    </row>
    <row r="4" spans="1:2">
      <c r="B4" s="12"/>
    </row>
    <row r="5" spans="1:2">
      <c r="B5" s="12" t="s">
        <v>31</v>
      </c>
    </row>
    <row r="6" spans="1:2">
      <c r="B6" s="12"/>
    </row>
    <row r="7" spans="1:2">
      <c r="B7" s="12" t="s">
        <v>32</v>
      </c>
    </row>
    <row r="8" spans="1:2">
      <c r="B8" s="12"/>
    </row>
    <row r="9" spans="1:2">
      <c r="B9" s="12" t="s">
        <v>33</v>
      </c>
    </row>
    <row r="10" spans="1:2">
      <c r="B10" s="12"/>
    </row>
    <row r="11" spans="1:2">
      <c r="B11" s="12" t="s">
        <v>34</v>
      </c>
    </row>
    <row r="13" spans="1:2" ht="18">
      <c r="B13" s="13" t="s">
        <v>35</v>
      </c>
    </row>
    <row r="14" spans="1:2">
      <c r="B14" s="12"/>
    </row>
    <row r="15" spans="1:2">
      <c r="B15" s="14" t="s">
        <v>36</v>
      </c>
    </row>
    <row r="16" spans="1:2">
      <c r="B16" s="12"/>
    </row>
    <row r="17" spans="2:2">
      <c r="B17" s="12"/>
    </row>
    <row r="18" spans="2:2">
      <c r="B18" s="15"/>
    </row>
    <row r="19" spans="2:2">
      <c r="B19" s="15" t="s">
        <v>37</v>
      </c>
    </row>
    <row r="20" spans="2:2">
      <c r="B20" s="15"/>
    </row>
    <row r="21" spans="2:2">
      <c r="B21" s="15" t="s">
        <v>38</v>
      </c>
    </row>
    <row r="22" spans="2:2">
      <c r="B22" s="15"/>
    </row>
    <row r="23" spans="2:2">
      <c r="B23" s="15" t="s">
        <v>39</v>
      </c>
    </row>
    <row r="24" spans="2:2">
      <c r="B24" s="12"/>
    </row>
    <row r="25" spans="2:2">
      <c r="B25" s="14" t="s">
        <v>40</v>
      </c>
    </row>
    <row r="26" spans="2:2">
      <c r="B26" s="12"/>
    </row>
    <row r="27" spans="2:2">
      <c r="B27" s="12"/>
    </row>
    <row r="28" spans="2:2">
      <c r="B28" s="15"/>
    </row>
    <row r="29" spans="2:2">
      <c r="B29" s="15" t="s">
        <v>41</v>
      </c>
    </row>
    <row r="30" spans="2:2">
      <c r="B30" s="15"/>
    </row>
    <row r="31" spans="2:2">
      <c r="B31" s="15" t="s">
        <v>42</v>
      </c>
    </row>
    <row r="32" spans="2:2">
      <c r="B32" s="15"/>
    </row>
    <row r="33" spans="2:2">
      <c r="B33" s="15" t="s">
        <v>43</v>
      </c>
    </row>
    <row r="34" spans="2:2">
      <c r="B34" s="12"/>
    </row>
    <row r="35" spans="2:2">
      <c r="B35" s="14" t="s">
        <v>44</v>
      </c>
    </row>
    <row r="36" spans="2:2">
      <c r="B36" s="12"/>
    </row>
    <row r="37" spans="2:2">
      <c r="B37" s="12"/>
    </row>
    <row r="38" spans="2:2">
      <c r="B38" s="15"/>
    </row>
    <row r="39" spans="2:2">
      <c r="B39" s="15" t="s">
        <v>1</v>
      </c>
    </row>
    <row r="40" spans="2:2">
      <c r="B40" s="15"/>
    </row>
    <row r="41" spans="2:2">
      <c r="B41" s="15" t="s">
        <v>3</v>
      </c>
    </row>
    <row r="43" spans="2:2" ht="23.4">
      <c r="B43" s="16" t="s">
        <v>45</v>
      </c>
    </row>
    <row r="44" spans="2:2">
      <c r="B44" s="12"/>
    </row>
    <row r="45" spans="2:2">
      <c r="B45" s="12" t="s">
        <v>46</v>
      </c>
    </row>
    <row r="46" spans="2:2">
      <c r="B46" s="12"/>
    </row>
    <row r="47" spans="2:2">
      <c r="B47" s="12" t="s">
        <v>47</v>
      </c>
    </row>
    <row r="48" spans="2:2">
      <c r="B48" s="12"/>
    </row>
    <row r="49" spans="2:9">
      <c r="B49" s="12" t="s">
        <v>48</v>
      </c>
    </row>
    <row r="50" spans="2:9">
      <c r="B50" s="12"/>
    </row>
    <row r="51" spans="2:9">
      <c r="B51" s="12" t="s">
        <v>49</v>
      </c>
    </row>
    <row r="53" spans="2:9">
      <c r="B53" t="s">
        <v>50</v>
      </c>
    </row>
    <row r="61" spans="2:9" ht="23.4">
      <c r="B61" s="16"/>
    </row>
    <row r="63" spans="2:9">
      <c r="B63" s="2"/>
      <c r="C63" s="2"/>
      <c r="D63" s="2"/>
      <c r="E63" s="2"/>
      <c r="F63" s="2"/>
      <c r="G63" s="2"/>
      <c r="H63" s="2"/>
      <c r="I63" s="2"/>
    </row>
    <row r="64" spans="2:9">
      <c r="B64" s="3"/>
      <c r="C64" s="4"/>
      <c r="D64" s="4"/>
      <c r="E64" s="4"/>
      <c r="F64" s="4"/>
      <c r="G64" s="6"/>
      <c r="H64" s="6"/>
      <c r="I64" s="6"/>
    </row>
    <row r="65" spans="2:9">
      <c r="B65" s="3"/>
      <c r="C65" s="4"/>
      <c r="D65" s="4"/>
      <c r="E65" s="4"/>
      <c r="F65" s="4"/>
      <c r="G65" s="6"/>
      <c r="H65" s="6"/>
      <c r="I65" s="6"/>
    </row>
    <row r="66" spans="2:9">
      <c r="B66" s="3"/>
      <c r="C66" s="4"/>
      <c r="D66" s="4"/>
      <c r="E66" s="4"/>
      <c r="F66" s="4"/>
      <c r="G66" s="6"/>
      <c r="H66" s="6"/>
      <c r="I66" s="6"/>
    </row>
    <row r="67" spans="2:9">
      <c r="B67" s="3"/>
      <c r="C67" s="4"/>
      <c r="D67" s="4"/>
      <c r="E67" s="4"/>
      <c r="F67" s="4"/>
      <c r="G67" s="6"/>
      <c r="H67" s="6"/>
      <c r="I67" s="6"/>
    </row>
    <row r="68" spans="2:9">
      <c r="B68" s="3"/>
      <c r="C68" s="4"/>
      <c r="D68" s="4"/>
      <c r="E68" s="4"/>
      <c r="F68" s="4"/>
      <c r="G68" s="6"/>
      <c r="H68" s="6"/>
      <c r="I68" s="6"/>
    </row>
    <row r="69" spans="2:9">
      <c r="B69" s="3"/>
      <c r="C69" s="4"/>
      <c r="D69" s="4"/>
      <c r="E69" s="4"/>
      <c r="F69" s="4"/>
      <c r="G69" s="6"/>
      <c r="H69" s="6"/>
      <c r="I69" s="6"/>
    </row>
    <row r="70" spans="2:9">
      <c r="B70" s="3"/>
      <c r="C70" s="4"/>
      <c r="D70" s="4"/>
      <c r="E70" s="4"/>
      <c r="F70" s="4"/>
      <c r="G70" s="6"/>
      <c r="H70" s="6"/>
      <c r="I70" s="6"/>
    </row>
    <row r="71" spans="2:9">
      <c r="B71" s="3"/>
      <c r="C71" s="4"/>
      <c r="D71" s="4"/>
      <c r="E71" s="4"/>
      <c r="F71" s="4"/>
      <c r="G71" s="6"/>
      <c r="H71" s="6"/>
      <c r="I71" s="6"/>
    </row>
    <row r="72" spans="2:9">
      <c r="B72" s="3"/>
      <c r="C72" s="4"/>
      <c r="D72" s="4"/>
      <c r="E72" s="4"/>
      <c r="F72" s="4"/>
      <c r="G72" s="6"/>
      <c r="H72" s="6"/>
      <c r="I72" s="6"/>
    </row>
    <row r="73" spans="2:9">
      <c r="B73" s="3"/>
      <c r="C73" s="4"/>
      <c r="D73" s="4"/>
      <c r="E73" s="4"/>
      <c r="F73" s="4"/>
      <c r="G73" s="6"/>
      <c r="H73" s="6"/>
      <c r="I73" s="6"/>
    </row>
    <row r="74" spans="2:9">
      <c r="B74" s="3"/>
      <c r="C74" s="4"/>
      <c r="D74" s="4"/>
      <c r="E74" s="4"/>
      <c r="F74" s="4"/>
      <c r="G74" s="6"/>
      <c r="H74" s="6"/>
      <c r="I74" s="6"/>
    </row>
    <row r="75" spans="2:9">
      <c r="B75" s="3"/>
      <c r="C75" s="4"/>
      <c r="D75" s="4"/>
      <c r="E75" s="4"/>
      <c r="F75" s="4"/>
      <c r="G75" s="6"/>
      <c r="H75" s="6"/>
      <c r="I75" s="6"/>
    </row>
    <row r="76" spans="2:9">
      <c r="B76" s="3"/>
      <c r="C76" s="4"/>
      <c r="D76" s="4"/>
      <c r="E76" s="4"/>
      <c r="F76" s="4"/>
      <c r="G76" s="6"/>
      <c r="H76" s="6"/>
      <c r="I76" s="6"/>
    </row>
    <row r="77" spans="2:9">
      <c r="B77" s="3"/>
      <c r="C77" s="4"/>
      <c r="D77" s="4"/>
      <c r="E77" s="4"/>
      <c r="F77" s="4"/>
      <c r="G77" s="6"/>
      <c r="H77" s="6"/>
      <c r="I77" s="6"/>
    </row>
    <row r="78" spans="2:9">
      <c r="B78" s="3"/>
      <c r="C78" s="4"/>
      <c r="D78" s="4"/>
      <c r="E78" s="4"/>
      <c r="F78" s="4"/>
      <c r="G78" s="6"/>
      <c r="H78" s="6"/>
      <c r="I78" s="6"/>
    </row>
    <row r="79" spans="2:9">
      <c r="B79" s="3"/>
      <c r="C79" s="4"/>
      <c r="D79" s="4"/>
      <c r="E79" s="4"/>
      <c r="F79" s="4"/>
      <c r="G79" s="6"/>
      <c r="H79" s="6"/>
      <c r="I79" s="6"/>
    </row>
    <row r="80" spans="2:9">
      <c r="B80" s="3"/>
      <c r="C80" s="4"/>
      <c r="D80" s="4"/>
      <c r="E80" s="4"/>
      <c r="F80" s="4"/>
      <c r="G80" s="6"/>
      <c r="H80" s="6"/>
      <c r="I80" s="6"/>
    </row>
    <row r="81" spans="2:9">
      <c r="B81" s="3"/>
      <c r="C81" s="4"/>
      <c r="D81" s="4"/>
      <c r="E81" s="4"/>
      <c r="F81" s="4"/>
      <c r="G81" s="6"/>
      <c r="H81" s="6"/>
      <c r="I81" s="6"/>
    </row>
    <row r="82" spans="2:9">
      <c r="B82" s="3"/>
      <c r="C82" s="4"/>
      <c r="D82" s="4"/>
      <c r="E82" s="4"/>
      <c r="F82" s="4"/>
      <c r="G82" s="6"/>
      <c r="H82" s="6"/>
      <c r="I82" s="6"/>
    </row>
    <row r="83" spans="2:9">
      <c r="B83" s="3"/>
      <c r="C83" s="4"/>
      <c r="D83" s="4"/>
      <c r="E83" s="4"/>
      <c r="F83" s="4"/>
      <c r="G83" s="6"/>
      <c r="H83" s="6"/>
      <c r="I83" s="6"/>
    </row>
    <row r="84" spans="2:9">
      <c r="B84" s="3"/>
      <c r="C84" s="4"/>
      <c r="D84" s="4"/>
      <c r="E84" s="4"/>
      <c r="F84" s="4"/>
      <c r="G84" s="6"/>
      <c r="H84" s="6"/>
      <c r="I84" s="6"/>
    </row>
    <row r="85" spans="2:9">
      <c r="B85" s="3"/>
      <c r="C85" s="4"/>
      <c r="D85" s="4"/>
      <c r="E85" s="4"/>
      <c r="F85" s="4"/>
      <c r="G85" s="6"/>
      <c r="H85" s="6"/>
      <c r="I85" s="6"/>
    </row>
    <row r="86" spans="2:9">
      <c r="B86" s="3"/>
      <c r="C86" s="4"/>
      <c r="D86" s="4"/>
      <c r="E86" s="4"/>
      <c r="F86" s="4"/>
      <c r="G86" s="6"/>
      <c r="H86" s="6"/>
      <c r="I86" s="6"/>
    </row>
    <row r="87" spans="2:9">
      <c r="B87" s="3"/>
      <c r="C87" s="4"/>
      <c r="D87" s="4"/>
      <c r="E87" s="4"/>
      <c r="F87" s="4"/>
      <c r="G87" s="6"/>
      <c r="H87" s="6"/>
      <c r="I87" s="6"/>
    </row>
    <row r="88" spans="2:9">
      <c r="B88" s="3"/>
      <c r="C88" s="4"/>
      <c r="D88" s="4"/>
      <c r="E88" s="4"/>
      <c r="F88" s="4"/>
      <c r="G88" s="6"/>
      <c r="H88" s="6"/>
      <c r="I88" s="6"/>
    </row>
    <row r="89" spans="2:9">
      <c r="B89" s="3"/>
      <c r="C89" s="4"/>
      <c r="D89" s="4"/>
      <c r="E89" s="4"/>
      <c r="F89" s="4"/>
      <c r="G89" s="6"/>
      <c r="H89" s="6"/>
      <c r="I89" s="6"/>
    </row>
    <row r="90" spans="2:9">
      <c r="B90" s="3"/>
      <c r="C90" s="4"/>
      <c r="D90" s="4"/>
      <c r="E90" s="4"/>
      <c r="F90" s="4"/>
      <c r="G90" s="6"/>
      <c r="H90" s="6"/>
      <c r="I90" s="6"/>
    </row>
    <row r="91" spans="2:9">
      <c r="B91" s="3"/>
      <c r="C91" s="4"/>
      <c r="D91" s="4"/>
      <c r="E91" s="4"/>
      <c r="F91" s="4"/>
      <c r="G91" s="6"/>
      <c r="H91" s="6"/>
      <c r="I91" s="6"/>
    </row>
    <row r="92" spans="2:9">
      <c r="B92" s="3"/>
      <c r="C92" s="4"/>
      <c r="D92" s="4"/>
      <c r="E92" s="4"/>
      <c r="F92" s="4"/>
      <c r="G92" s="6"/>
      <c r="H92" s="6"/>
      <c r="I92" s="6"/>
    </row>
    <row r="93" spans="2:9">
      <c r="B93" s="3"/>
      <c r="C93" s="4"/>
      <c r="D93" s="4"/>
      <c r="E93" s="4"/>
      <c r="F93" s="4"/>
      <c r="G93" s="6"/>
      <c r="H93" s="6"/>
      <c r="I93" s="6"/>
    </row>
    <row r="94" spans="2:9">
      <c r="B94" s="3"/>
      <c r="C94" s="4"/>
      <c r="D94" s="4"/>
      <c r="E94" s="4"/>
      <c r="F94" s="4"/>
      <c r="G94" s="6"/>
      <c r="H94" s="6"/>
      <c r="I94" s="6"/>
    </row>
    <row r="95" spans="2:9">
      <c r="B95" s="3"/>
      <c r="C95" s="4"/>
      <c r="D95" s="4"/>
      <c r="E95" s="4"/>
      <c r="F95" s="4"/>
      <c r="G95" s="6"/>
      <c r="H95" s="6"/>
      <c r="I95" s="6"/>
    </row>
    <row r="96" spans="2:9">
      <c r="B96" s="3"/>
      <c r="C96" s="4"/>
      <c r="D96" s="4"/>
      <c r="E96" s="4"/>
      <c r="F96" s="4"/>
      <c r="G96" s="6"/>
      <c r="H96" s="6"/>
      <c r="I96" s="6"/>
    </row>
    <row r="97" spans="2:9">
      <c r="B97" s="3"/>
      <c r="C97" s="4"/>
      <c r="D97" s="4"/>
      <c r="E97" s="4"/>
      <c r="F97" s="4"/>
      <c r="G97" s="6"/>
      <c r="H97" s="6"/>
      <c r="I97" s="6"/>
    </row>
    <row r="98" spans="2:9">
      <c r="B98" s="3"/>
      <c r="C98" s="4"/>
      <c r="D98" s="4"/>
      <c r="E98" s="4"/>
      <c r="F98" s="4"/>
      <c r="G98" s="6"/>
      <c r="H98" s="6"/>
      <c r="I98" s="6"/>
    </row>
    <row r="99" spans="2:9">
      <c r="B99" s="3"/>
      <c r="C99" s="4"/>
      <c r="D99" s="4"/>
      <c r="E99" s="4"/>
      <c r="F99" s="4"/>
      <c r="G99" s="6"/>
      <c r="H99" s="6"/>
      <c r="I99" s="6"/>
    </row>
    <row r="100" spans="2:9">
      <c r="B100" s="3"/>
      <c r="C100" s="4"/>
      <c r="D100" s="4"/>
      <c r="E100" s="4"/>
      <c r="F100" s="4"/>
      <c r="G100" s="6"/>
      <c r="H100" s="6"/>
      <c r="I100" s="6"/>
    </row>
    <row r="101" spans="2:9">
      <c r="B101" s="3"/>
      <c r="C101" s="4"/>
      <c r="D101" s="4"/>
      <c r="E101" s="4"/>
      <c r="F101" s="4"/>
      <c r="G101" s="6"/>
      <c r="H101" s="6"/>
      <c r="I101" s="6"/>
    </row>
    <row r="102" spans="2:9">
      <c r="B102" s="3"/>
      <c r="C102" s="4"/>
      <c r="D102" s="4"/>
      <c r="E102" s="4"/>
      <c r="F102" s="4"/>
      <c r="G102" s="6"/>
      <c r="H102" s="6"/>
      <c r="I102" s="6"/>
    </row>
    <row r="103" spans="2:9">
      <c r="B103" s="3"/>
      <c r="C103" s="4"/>
      <c r="D103" s="4"/>
      <c r="E103" s="4"/>
      <c r="F103" s="4"/>
      <c r="G103" s="6"/>
      <c r="H103" s="6"/>
      <c r="I103" s="6"/>
    </row>
    <row r="104" spans="2:9">
      <c r="B104" s="3"/>
      <c r="C104" s="4"/>
      <c r="D104" s="4"/>
      <c r="E104" s="4"/>
      <c r="F104" s="4"/>
      <c r="G104" s="6"/>
      <c r="H104" s="6"/>
      <c r="I104" s="6"/>
    </row>
    <row r="105" spans="2:9">
      <c r="B105" s="3"/>
      <c r="C105" s="4"/>
      <c r="D105" s="4"/>
      <c r="E105" s="4"/>
      <c r="F105" s="4"/>
      <c r="G105" s="6"/>
      <c r="H105" s="6"/>
      <c r="I105" s="6"/>
    </row>
    <row r="106" spans="2:9">
      <c r="B106" s="3"/>
      <c r="C106" s="4"/>
      <c r="D106" s="4"/>
      <c r="E106" s="4"/>
      <c r="F106" s="4"/>
      <c r="G106" s="6"/>
      <c r="H106" s="6"/>
      <c r="I106" s="6"/>
    </row>
    <row r="107" spans="2:9">
      <c r="B107" s="3"/>
      <c r="C107" s="4"/>
      <c r="D107" s="4"/>
      <c r="E107" s="4"/>
      <c r="F107" s="4"/>
      <c r="G107" s="6"/>
      <c r="H107" s="6"/>
      <c r="I107" s="6"/>
    </row>
    <row r="108" spans="2:9">
      <c r="B108" s="3"/>
      <c r="C108" s="4"/>
      <c r="D108" s="4"/>
      <c r="E108" s="4"/>
      <c r="F108" s="4"/>
      <c r="G108" s="6"/>
      <c r="H108" s="6"/>
      <c r="I108" s="6"/>
    </row>
    <row r="109" spans="2:9">
      <c r="B109" s="3"/>
      <c r="C109" s="4"/>
      <c r="D109" s="4"/>
      <c r="E109" s="4"/>
      <c r="F109" s="4"/>
      <c r="G109" s="6"/>
      <c r="H109" s="6"/>
      <c r="I109" s="6"/>
    </row>
    <row r="110" spans="2:9">
      <c r="B110" s="3"/>
      <c r="C110" s="4"/>
      <c r="D110" s="4"/>
      <c r="E110" s="4"/>
      <c r="F110" s="4"/>
      <c r="G110" s="6"/>
      <c r="H110" s="6"/>
      <c r="I110" s="6"/>
    </row>
    <row r="111" spans="2:9">
      <c r="B111" s="3"/>
      <c r="C111" s="4"/>
      <c r="D111" s="4"/>
      <c r="E111" s="4"/>
      <c r="F111" s="4"/>
      <c r="G111" s="6"/>
      <c r="H111" s="6"/>
      <c r="I111" s="6"/>
    </row>
    <row r="112" spans="2:9">
      <c r="B112" s="3"/>
      <c r="C112" s="4"/>
      <c r="D112" s="4"/>
      <c r="E112" s="4"/>
      <c r="F112" s="4"/>
      <c r="G112" s="6"/>
      <c r="H112" s="6"/>
      <c r="I112" s="6"/>
    </row>
    <row r="113" spans="2:9">
      <c r="B113" s="3"/>
      <c r="C113" s="4"/>
      <c r="D113" s="4"/>
      <c r="E113" s="4"/>
      <c r="F113" s="4"/>
      <c r="G113" s="6"/>
      <c r="H113" s="6"/>
      <c r="I113" s="6"/>
    </row>
    <row r="114" spans="2:9">
      <c r="B114" s="4"/>
    </row>
    <row r="119" spans="2:9">
      <c r="B119" s="12"/>
    </row>
    <row r="120" spans="2:9">
      <c r="B120" s="12"/>
    </row>
    <row r="121" spans="2:9">
      <c r="B121" s="12"/>
    </row>
    <row r="122" spans="2:9">
      <c r="B122" s="12"/>
    </row>
    <row r="123" spans="2:9">
      <c r="B123" s="12"/>
    </row>
    <row r="124" spans="2:9">
      <c r="B124" s="12"/>
    </row>
    <row r="125" spans="2:9">
      <c r="B125" s="12"/>
    </row>
    <row r="126" spans="2:9">
      <c r="B126" s="12"/>
    </row>
    <row r="129" spans="2:2">
      <c r="B129" s="12"/>
    </row>
    <row r="130" spans="2:2">
      <c r="B130" s="12"/>
    </row>
    <row r="131" spans="2:2">
      <c r="B131" s="12"/>
    </row>
    <row r="132" spans="2:2">
      <c r="B132" s="12"/>
    </row>
    <row r="133" spans="2:2">
      <c r="B133" s="12"/>
    </row>
    <row r="134" spans="2:2">
      <c r="B134" s="12"/>
    </row>
    <row r="143" spans="2:2">
      <c r="B143" s="12"/>
    </row>
    <row r="144" spans="2:2">
      <c r="B144" s="14" t="s">
        <v>51</v>
      </c>
    </row>
    <row r="145" spans="2:2">
      <c r="B145" s="12"/>
    </row>
    <row r="146" spans="2:2">
      <c r="B146" s="12"/>
    </row>
    <row r="147" spans="2:2">
      <c r="B147" s="15"/>
    </row>
    <row r="148" spans="2:2">
      <c r="B148" s="15" t="s">
        <v>52</v>
      </c>
    </row>
    <row r="149" spans="2:2">
      <c r="B149" s="15"/>
    </row>
    <row r="150" spans="2:2">
      <c r="B150" s="15" t="s">
        <v>53</v>
      </c>
    </row>
    <row r="151" spans="2:2">
      <c r="B151" s="12"/>
    </row>
    <row r="152" spans="2:2">
      <c r="B152" s="14" t="s">
        <v>54</v>
      </c>
    </row>
    <row r="153" spans="2:2">
      <c r="B153" s="12"/>
    </row>
    <row r="154" spans="2:2">
      <c r="B154" s="12"/>
    </row>
    <row r="155" spans="2:2">
      <c r="B155" s="15"/>
    </row>
    <row r="156" spans="2:2">
      <c r="B156" s="15" t="s">
        <v>55</v>
      </c>
    </row>
    <row r="157" spans="2:2">
      <c r="B157" s="15"/>
    </row>
    <row r="158" spans="2:2">
      <c r="B158" s="15" t="s">
        <v>56</v>
      </c>
    </row>
    <row r="160" spans="2:2">
      <c r="B160" t="s">
        <v>57</v>
      </c>
    </row>
    <row r="161" spans="2:2">
      <c r="B161" s="12"/>
    </row>
    <row r="162" spans="2:2">
      <c r="B162" s="12" t="s">
        <v>58</v>
      </c>
    </row>
    <row r="163" spans="2:2">
      <c r="B163" s="12"/>
    </row>
    <row r="164" spans="2:2">
      <c r="B164" s="12" t="s">
        <v>59</v>
      </c>
    </row>
    <row r="165" spans="2:2">
      <c r="B165" s="12"/>
    </row>
    <row r="166" spans="2:2">
      <c r="B166" s="12" t="s">
        <v>60</v>
      </c>
    </row>
    <row r="168" spans="2:2">
      <c r="B168" t="s">
        <v>61</v>
      </c>
    </row>
    <row r="170" spans="2:2">
      <c r="B170" t="s">
        <v>62</v>
      </c>
    </row>
    <row r="172" spans="2:2">
      <c r="B172" t="s">
        <v>63</v>
      </c>
    </row>
    <row r="174" spans="2:2">
      <c r="B174" t="s">
        <v>64</v>
      </c>
    </row>
    <row r="175" spans="2:2">
      <c r="B175" s="12"/>
    </row>
    <row r="176" spans="2:2">
      <c r="B176" s="14" t="s">
        <v>65</v>
      </c>
    </row>
    <row r="177" spans="2:2">
      <c r="B177" s="12"/>
    </row>
    <row r="178" spans="2:2">
      <c r="B178" s="14" t="s">
        <v>66</v>
      </c>
    </row>
    <row r="180" spans="2:2">
      <c r="B180" t="s">
        <v>67</v>
      </c>
    </row>
    <row r="182" spans="2:2" ht="18">
      <c r="B182" s="13" t="s">
        <v>68</v>
      </c>
    </row>
    <row r="184" spans="2:2">
      <c r="B184" t="s">
        <v>69</v>
      </c>
    </row>
    <row r="186" spans="2:2">
      <c r="B186" t="s">
        <v>70</v>
      </c>
    </row>
    <row r="188" spans="2:2">
      <c r="B188" s="17">
        <f>SUMIFS($D:$D, $A:$A, "North")</f>
        <v>0</v>
      </c>
    </row>
    <row r="190" spans="2:2">
      <c r="B190" t="s">
        <v>71</v>
      </c>
    </row>
    <row r="191" spans="2:2">
      <c r="B191" s="12"/>
    </row>
    <row r="192" spans="2:2">
      <c r="B192" s="18" t="s">
        <v>72</v>
      </c>
    </row>
    <row r="193" spans="2:2">
      <c r="B193" s="12"/>
    </row>
    <row r="194" spans="2:2">
      <c r="B194" s="18" t="s">
        <v>73</v>
      </c>
    </row>
    <row r="195" spans="2:2">
      <c r="B195" s="12"/>
    </row>
    <row r="196" spans="2:2">
      <c r="B196" s="18" t="s">
        <v>74</v>
      </c>
    </row>
    <row r="198" spans="2:2">
      <c r="B198" t="s">
        <v>75</v>
      </c>
    </row>
    <row r="200" spans="2:2">
      <c r="B200" t="s">
        <v>70</v>
      </c>
    </row>
    <row r="202" spans="2:2">
      <c r="B202" s="17">
        <f>SUMIFS($D:$D, $A:$A, F2)</f>
        <v>0</v>
      </c>
    </row>
    <row r="204" spans="2:2">
      <c r="B204" t="s">
        <v>76</v>
      </c>
    </row>
    <row r="206" spans="2:2">
      <c r="B206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17C0-8AAC-4920-B46C-BAA0C7525987}">
  <dimension ref="A1:R51"/>
  <sheetViews>
    <sheetView workbookViewId="0">
      <selection activeCell="N21" sqref="N21"/>
    </sheetView>
  </sheetViews>
  <sheetFormatPr defaultRowHeight="14.4"/>
  <cols>
    <col min="1" max="1" width="12.77734375" customWidth="1"/>
    <col min="11" max="11" width="12.77734375" customWidth="1"/>
  </cols>
  <sheetData>
    <row r="1" spans="1:18">
      <c r="A1" s="2" t="s">
        <v>2</v>
      </c>
      <c r="K1" s="2" t="s">
        <v>2</v>
      </c>
      <c r="O1" t="s">
        <v>2</v>
      </c>
      <c r="P1" t="s">
        <v>179</v>
      </c>
    </row>
    <row r="2" spans="1:18">
      <c r="A2" s="1" t="s">
        <v>9</v>
      </c>
      <c r="B2">
        <f>VLOOKUP(A2,$K$2:$L$25,2,FALSE)</f>
        <v>80000</v>
      </c>
      <c r="C2">
        <f>INDEX($L$2:$L$25,MATCH(A2,$K$2:$K$25,0))</f>
        <v>80000</v>
      </c>
      <c r="D2">
        <f>INDEX($L$2:$L$25,MATCH(A2,$K$2:$K$25,0))</f>
        <v>80000</v>
      </c>
      <c r="E2">
        <f>INDEX($L$2:$L$25,MATCH(K2,$K$2:$K$25,0))</f>
        <v>80000</v>
      </c>
      <c r="F2">
        <f>INDEX($L$2:$L$25,MATCH(A2,$K$2:$K$25,0))</f>
        <v>80000</v>
      </c>
      <c r="H2">
        <f>INDEX($A$2:$E$25,7,5)</f>
        <v>7000</v>
      </c>
      <c r="K2" s="1" t="s">
        <v>9</v>
      </c>
      <c r="L2">
        <v>80000</v>
      </c>
      <c r="O2" s="1" t="s">
        <v>9</v>
      </c>
      <c r="P2">
        <v>80000</v>
      </c>
      <c r="R2">
        <f>INDEX($K$2:$L$25,MATCH(A2,$K$2:$K$25,0),2)</f>
        <v>80000</v>
      </c>
    </row>
    <row r="3" spans="1:18">
      <c r="A3" s="1" t="s">
        <v>12</v>
      </c>
      <c r="B3">
        <f t="shared" ref="B3:B51" si="0">VLOOKUP(A3,$K$2:$L$25,2,FALSE)</f>
        <v>40000</v>
      </c>
      <c r="C3">
        <f t="shared" ref="C3:C45" si="1">INDEX($L$2:$L$25,MATCH(A3,$K$2:$K$25,0))</f>
        <v>40000</v>
      </c>
      <c r="D3">
        <f t="shared" ref="D3:D51" si="2">INDEX($L$2:$L$25,MATCH(A3,$K$2:$K$25,0))</f>
        <v>40000</v>
      </c>
      <c r="E3">
        <f t="shared" ref="E3:E51" si="3">INDEX($L$2:$L$25,MATCH(K3,$K$2:$K$25,0))</f>
        <v>40000</v>
      </c>
      <c r="K3" s="1" t="s">
        <v>12</v>
      </c>
      <c r="L3">
        <v>40000</v>
      </c>
      <c r="O3" s="1" t="s">
        <v>12</v>
      </c>
      <c r="P3">
        <v>40000</v>
      </c>
      <c r="R3">
        <f t="shared" ref="R3:R27" si="4">INDEX($K$2:$L$25,MATCH(A3,$K$2:$K$25,0),2)</f>
        <v>40000</v>
      </c>
    </row>
    <row r="4" spans="1:18">
      <c r="A4" s="1" t="s">
        <v>14</v>
      </c>
      <c r="B4">
        <f t="shared" si="0"/>
        <v>2000</v>
      </c>
      <c r="C4">
        <f t="shared" si="1"/>
        <v>2000</v>
      </c>
      <c r="D4">
        <f t="shared" si="2"/>
        <v>2000</v>
      </c>
      <c r="E4">
        <f t="shared" si="3"/>
        <v>2000</v>
      </c>
      <c r="K4" s="1" t="s">
        <v>14</v>
      </c>
      <c r="L4">
        <v>2000</v>
      </c>
      <c r="O4" s="1" t="s">
        <v>14</v>
      </c>
      <c r="P4">
        <v>2000</v>
      </c>
      <c r="R4">
        <f t="shared" si="4"/>
        <v>2000</v>
      </c>
    </row>
    <row r="5" spans="1:18">
      <c r="A5" s="1" t="s">
        <v>17</v>
      </c>
      <c r="B5">
        <f t="shared" si="0"/>
        <v>45000</v>
      </c>
      <c r="C5">
        <f t="shared" si="1"/>
        <v>45000</v>
      </c>
      <c r="D5">
        <f t="shared" si="2"/>
        <v>45000</v>
      </c>
      <c r="E5">
        <f t="shared" si="3"/>
        <v>45000</v>
      </c>
      <c r="K5" s="1" t="s">
        <v>17</v>
      </c>
      <c r="L5">
        <v>45000</v>
      </c>
      <c r="O5" s="1" t="s">
        <v>17</v>
      </c>
      <c r="P5">
        <v>45000</v>
      </c>
      <c r="R5">
        <f t="shared" si="4"/>
        <v>45000</v>
      </c>
    </row>
    <row r="6" spans="1:18">
      <c r="A6" s="1" t="s">
        <v>19</v>
      </c>
      <c r="B6">
        <f t="shared" si="0"/>
        <v>25000</v>
      </c>
      <c r="C6">
        <f t="shared" si="1"/>
        <v>25000</v>
      </c>
      <c r="D6">
        <f t="shared" si="2"/>
        <v>25000</v>
      </c>
      <c r="E6">
        <f t="shared" si="3"/>
        <v>25000</v>
      </c>
      <c r="K6" s="1" t="s">
        <v>19</v>
      </c>
      <c r="L6">
        <v>25000</v>
      </c>
      <c r="O6" s="1" t="s">
        <v>19</v>
      </c>
      <c r="P6">
        <v>25000</v>
      </c>
      <c r="R6">
        <f t="shared" si="4"/>
        <v>25000</v>
      </c>
    </row>
    <row r="7" spans="1:18">
      <c r="A7" s="1" t="s">
        <v>19</v>
      </c>
      <c r="B7">
        <f t="shared" si="0"/>
        <v>25000</v>
      </c>
      <c r="C7">
        <f t="shared" si="1"/>
        <v>25000</v>
      </c>
      <c r="D7">
        <f t="shared" si="2"/>
        <v>25000</v>
      </c>
      <c r="E7">
        <f t="shared" si="3"/>
        <v>1000</v>
      </c>
      <c r="K7" s="1" t="s">
        <v>20</v>
      </c>
      <c r="L7">
        <v>1000</v>
      </c>
      <c r="O7" s="1" t="s">
        <v>20</v>
      </c>
      <c r="P7">
        <v>1000</v>
      </c>
      <c r="R7">
        <f t="shared" si="4"/>
        <v>25000</v>
      </c>
    </row>
    <row r="8" spans="1:18">
      <c r="A8" s="1" t="s">
        <v>21</v>
      </c>
      <c r="B8">
        <f t="shared" si="0"/>
        <v>1000</v>
      </c>
      <c r="C8">
        <f t="shared" si="1"/>
        <v>1000</v>
      </c>
      <c r="D8">
        <f t="shared" si="2"/>
        <v>1000</v>
      </c>
      <c r="E8">
        <v>7000</v>
      </c>
      <c r="K8" s="1" t="s">
        <v>21</v>
      </c>
      <c r="L8">
        <v>1000</v>
      </c>
      <c r="O8" s="1" t="s">
        <v>21</v>
      </c>
      <c r="P8">
        <v>1000</v>
      </c>
      <c r="R8">
        <f t="shared" si="4"/>
        <v>1000</v>
      </c>
    </row>
    <row r="9" spans="1:18" ht="28.8">
      <c r="A9" s="1" t="s">
        <v>22</v>
      </c>
      <c r="B9">
        <f t="shared" si="0"/>
        <v>2000</v>
      </c>
      <c r="C9">
        <f t="shared" si="1"/>
        <v>2000</v>
      </c>
      <c r="D9">
        <f t="shared" si="2"/>
        <v>2000</v>
      </c>
      <c r="E9">
        <f t="shared" si="3"/>
        <v>2000</v>
      </c>
      <c r="K9" s="1" t="s">
        <v>22</v>
      </c>
      <c r="L9">
        <v>2000</v>
      </c>
      <c r="O9" s="1" t="s">
        <v>22</v>
      </c>
      <c r="P9">
        <v>2000</v>
      </c>
      <c r="R9">
        <f t="shared" si="4"/>
        <v>2000</v>
      </c>
    </row>
    <row r="10" spans="1:18">
      <c r="A10" s="1" t="s">
        <v>23</v>
      </c>
      <c r="B10">
        <f t="shared" si="0"/>
        <v>1500</v>
      </c>
      <c r="C10">
        <f t="shared" si="1"/>
        <v>1500</v>
      </c>
      <c r="D10">
        <f t="shared" si="2"/>
        <v>1500</v>
      </c>
      <c r="E10">
        <f t="shared" si="3"/>
        <v>1500</v>
      </c>
      <c r="K10" s="1" t="s">
        <v>23</v>
      </c>
      <c r="L10">
        <v>1500</v>
      </c>
      <c r="O10" s="1" t="s">
        <v>23</v>
      </c>
      <c r="P10">
        <v>1500</v>
      </c>
      <c r="R10">
        <f t="shared" si="4"/>
        <v>1500</v>
      </c>
    </row>
    <row r="11" spans="1:18">
      <c r="A11" s="1" t="s">
        <v>24</v>
      </c>
      <c r="B11">
        <f t="shared" si="0"/>
        <v>45000</v>
      </c>
      <c r="C11">
        <f t="shared" si="1"/>
        <v>45000</v>
      </c>
      <c r="D11">
        <f t="shared" si="2"/>
        <v>45000</v>
      </c>
      <c r="E11">
        <f t="shared" si="3"/>
        <v>45000</v>
      </c>
      <c r="K11" s="1" t="s">
        <v>24</v>
      </c>
      <c r="L11">
        <v>45000</v>
      </c>
      <c r="O11" s="1" t="s">
        <v>24</v>
      </c>
      <c r="P11">
        <v>45000</v>
      </c>
      <c r="R11">
        <f t="shared" si="4"/>
        <v>45000</v>
      </c>
    </row>
    <row r="12" spans="1:18">
      <c r="A12" s="1" t="s">
        <v>146</v>
      </c>
      <c r="B12">
        <f t="shared" si="0"/>
        <v>4000</v>
      </c>
      <c r="C12">
        <f t="shared" si="1"/>
        <v>4000</v>
      </c>
      <c r="D12">
        <f t="shared" si="2"/>
        <v>4000</v>
      </c>
      <c r="E12">
        <f t="shared" si="3"/>
        <v>4000</v>
      </c>
      <c r="K12" s="1" t="s">
        <v>146</v>
      </c>
      <c r="L12">
        <v>4000</v>
      </c>
      <c r="O12" s="1" t="s">
        <v>25</v>
      </c>
      <c r="P12">
        <v>4000</v>
      </c>
      <c r="R12">
        <f t="shared" si="4"/>
        <v>4000</v>
      </c>
    </row>
    <row r="13" spans="1:18">
      <c r="A13" s="1" t="s">
        <v>147</v>
      </c>
      <c r="B13">
        <f t="shared" si="0"/>
        <v>50000</v>
      </c>
      <c r="C13">
        <f t="shared" si="1"/>
        <v>50000</v>
      </c>
      <c r="D13">
        <f t="shared" si="2"/>
        <v>50000</v>
      </c>
      <c r="E13">
        <f t="shared" si="3"/>
        <v>50000</v>
      </c>
      <c r="K13" s="1" t="s">
        <v>147</v>
      </c>
      <c r="L13">
        <v>50000</v>
      </c>
      <c r="O13" s="1" t="s">
        <v>26</v>
      </c>
      <c r="P13">
        <v>50000</v>
      </c>
      <c r="R13">
        <f t="shared" si="4"/>
        <v>50000</v>
      </c>
    </row>
    <row r="14" spans="1:18">
      <c r="A14" s="1" t="s">
        <v>148</v>
      </c>
      <c r="B14">
        <f t="shared" si="0"/>
        <v>80000</v>
      </c>
      <c r="C14">
        <f t="shared" si="1"/>
        <v>80000</v>
      </c>
      <c r="D14">
        <f t="shared" si="2"/>
        <v>80000</v>
      </c>
      <c r="E14">
        <f t="shared" si="3"/>
        <v>80000</v>
      </c>
      <c r="K14" s="1" t="s">
        <v>148</v>
      </c>
      <c r="L14">
        <v>80000</v>
      </c>
      <c r="R14">
        <f t="shared" si="4"/>
        <v>80000</v>
      </c>
    </row>
    <row r="15" spans="1:18">
      <c r="A15" s="1" t="s">
        <v>149</v>
      </c>
      <c r="B15">
        <f t="shared" si="0"/>
        <v>40000</v>
      </c>
      <c r="C15">
        <f t="shared" si="1"/>
        <v>40000</v>
      </c>
      <c r="D15">
        <f t="shared" si="2"/>
        <v>40000</v>
      </c>
      <c r="E15">
        <f t="shared" si="3"/>
        <v>40000</v>
      </c>
      <c r="K15" s="1" t="s">
        <v>149</v>
      </c>
      <c r="L15">
        <v>40000</v>
      </c>
      <c r="R15">
        <f t="shared" si="4"/>
        <v>40000</v>
      </c>
    </row>
    <row r="16" spans="1:18">
      <c r="A16" s="1" t="s">
        <v>147</v>
      </c>
      <c r="B16">
        <f t="shared" si="0"/>
        <v>50000</v>
      </c>
      <c r="C16">
        <f t="shared" si="1"/>
        <v>50000</v>
      </c>
      <c r="D16">
        <f t="shared" si="2"/>
        <v>50000</v>
      </c>
      <c r="E16">
        <f t="shared" si="3"/>
        <v>2000</v>
      </c>
      <c r="K16" s="1" t="s">
        <v>150</v>
      </c>
      <c r="L16">
        <v>2000</v>
      </c>
      <c r="R16">
        <f t="shared" si="4"/>
        <v>50000</v>
      </c>
    </row>
    <row r="17" spans="1:18">
      <c r="A17" s="1" t="s">
        <v>151</v>
      </c>
      <c r="B17">
        <f t="shared" si="0"/>
        <v>45000</v>
      </c>
      <c r="C17">
        <f t="shared" si="1"/>
        <v>45000</v>
      </c>
      <c r="D17">
        <f t="shared" si="2"/>
        <v>45000</v>
      </c>
      <c r="E17">
        <f t="shared" si="3"/>
        <v>45000</v>
      </c>
      <c r="K17" s="1" t="s">
        <v>151</v>
      </c>
      <c r="L17">
        <v>45000</v>
      </c>
      <c r="R17">
        <f t="shared" si="4"/>
        <v>45000</v>
      </c>
    </row>
    <row r="18" spans="1:18">
      <c r="A18" s="1" t="s">
        <v>152</v>
      </c>
      <c r="B18">
        <f t="shared" si="0"/>
        <v>25000</v>
      </c>
      <c r="C18">
        <f t="shared" si="1"/>
        <v>25000</v>
      </c>
      <c r="D18">
        <f t="shared" si="2"/>
        <v>25000</v>
      </c>
      <c r="E18">
        <f t="shared" si="3"/>
        <v>25000</v>
      </c>
      <c r="K18" s="1" t="s">
        <v>152</v>
      </c>
      <c r="L18">
        <v>25000</v>
      </c>
      <c r="R18">
        <f t="shared" si="4"/>
        <v>25000</v>
      </c>
    </row>
    <row r="19" spans="1:18">
      <c r="A19" s="1" t="s">
        <v>153</v>
      </c>
      <c r="B19">
        <f t="shared" si="0"/>
        <v>1000</v>
      </c>
      <c r="C19">
        <f t="shared" si="1"/>
        <v>1000</v>
      </c>
      <c r="D19">
        <f t="shared" si="2"/>
        <v>1000</v>
      </c>
      <c r="E19">
        <f t="shared" si="3"/>
        <v>1000</v>
      </c>
      <c r="K19" s="1" t="s">
        <v>153</v>
      </c>
      <c r="L19">
        <v>1000</v>
      </c>
      <c r="R19">
        <f t="shared" si="4"/>
        <v>1000</v>
      </c>
    </row>
    <row r="20" spans="1:18">
      <c r="A20" s="1" t="s">
        <v>154</v>
      </c>
      <c r="B20">
        <f t="shared" si="0"/>
        <v>1000</v>
      </c>
      <c r="C20">
        <f t="shared" si="1"/>
        <v>1000</v>
      </c>
      <c r="D20">
        <f t="shared" si="2"/>
        <v>1000</v>
      </c>
      <c r="E20">
        <f t="shared" si="3"/>
        <v>1000</v>
      </c>
      <c r="K20" s="1" t="s">
        <v>154</v>
      </c>
      <c r="L20">
        <v>1000</v>
      </c>
      <c r="R20">
        <f t="shared" si="4"/>
        <v>1000</v>
      </c>
    </row>
    <row r="21" spans="1:18">
      <c r="A21" s="1" t="s">
        <v>155</v>
      </c>
      <c r="B21">
        <f t="shared" si="0"/>
        <v>2000</v>
      </c>
      <c r="C21">
        <f t="shared" si="1"/>
        <v>2000</v>
      </c>
      <c r="D21">
        <f t="shared" si="2"/>
        <v>2000</v>
      </c>
      <c r="E21">
        <f t="shared" si="3"/>
        <v>2000</v>
      </c>
      <c r="K21" s="1" t="s">
        <v>155</v>
      </c>
      <c r="L21">
        <v>2000</v>
      </c>
      <c r="R21">
        <f t="shared" si="4"/>
        <v>2000</v>
      </c>
    </row>
    <row r="22" spans="1:18">
      <c r="A22" s="1" t="s">
        <v>25</v>
      </c>
      <c r="B22">
        <f t="shared" si="0"/>
        <v>1500</v>
      </c>
      <c r="C22">
        <f t="shared" si="1"/>
        <v>1500</v>
      </c>
      <c r="D22">
        <f t="shared" si="2"/>
        <v>1500</v>
      </c>
      <c r="E22">
        <f t="shared" si="3"/>
        <v>1500</v>
      </c>
      <c r="K22" s="1" t="s">
        <v>25</v>
      </c>
      <c r="L22">
        <v>1500</v>
      </c>
      <c r="R22">
        <f t="shared" si="4"/>
        <v>1500</v>
      </c>
    </row>
    <row r="23" spans="1:18">
      <c r="A23" s="1" t="s">
        <v>156</v>
      </c>
      <c r="B23">
        <f t="shared" si="0"/>
        <v>45000</v>
      </c>
      <c r="C23">
        <f t="shared" si="1"/>
        <v>45000</v>
      </c>
      <c r="D23">
        <f t="shared" si="2"/>
        <v>45000</v>
      </c>
      <c r="E23">
        <f t="shared" si="3"/>
        <v>45000</v>
      </c>
      <c r="K23" s="1" t="s">
        <v>156</v>
      </c>
      <c r="L23">
        <v>45000</v>
      </c>
      <c r="R23">
        <f t="shared" si="4"/>
        <v>45000</v>
      </c>
    </row>
    <row r="24" spans="1:18">
      <c r="A24" s="1" t="s">
        <v>157</v>
      </c>
      <c r="B24">
        <f t="shared" si="0"/>
        <v>4000</v>
      </c>
      <c r="C24">
        <f t="shared" si="1"/>
        <v>4000</v>
      </c>
      <c r="D24">
        <f t="shared" si="2"/>
        <v>4000</v>
      </c>
      <c r="E24">
        <f t="shared" si="3"/>
        <v>4000</v>
      </c>
      <c r="K24" s="1" t="s">
        <v>157</v>
      </c>
      <c r="L24">
        <v>4000</v>
      </c>
      <c r="R24">
        <f t="shared" si="4"/>
        <v>4000</v>
      </c>
    </row>
    <row r="25" spans="1:18">
      <c r="A25" s="1" t="s">
        <v>158</v>
      </c>
      <c r="B25">
        <f t="shared" si="0"/>
        <v>50000</v>
      </c>
      <c r="C25">
        <f t="shared" si="1"/>
        <v>50000</v>
      </c>
      <c r="D25">
        <f t="shared" si="2"/>
        <v>50000</v>
      </c>
      <c r="E25">
        <f t="shared" si="3"/>
        <v>50000</v>
      </c>
      <c r="K25" s="1" t="s">
        <v>158</v>
      </c>
      <c r="L25">
        <v>50000</v>
      </c>
      <c r="R25">
        <f t="shared" si="4"/>
        <v>50000</v>
      </c>
    </row>
    <row r="26" spans="1:18">
      <c r="A26" s="1" t="s">
        <v>159</v>
      </c>
      <c r="B26" t="e">
        <f t="shared" si="0"/>
        <v>#N/A</v>
      </c>
      <c r="C26" t="e">
        <f t="shared" si="1"/>
        <v>#N/A</v>
      </c>
      <c r="D26" t="e">
        <f t="shared" si="2"/>
        <v>#N/A</v>
      </c>
      <c r="E26" t="e">
        <f t="shared" si="3"/>
        <v>#N/A</v>
      </c>
      <c r="K26" s="1" t="s">
        <v>159</v>
      </c>
      <c r="R26" t="e">
        <f t="shared" si="4"/>
        <v>#N/A</v>
      </c>
    </row>
    <row r="27" spans="1:18">
      <c r="A27" s="1" t="s">
        <v>26</v>
      </c>
      <c r="B27" t="e">
        <f t="shared" si="0"/>
        <v>#N/A</v>
      </c>
      <c r="C27" t="e">
        <f>INDEX($L$2:$L$25,MATCH(A27,$K$2:$K$25,0))</f>
        <v>#N/A</v>
      </c>
      <c r="D27" t="e">
        <f t="shared" si="2"/>
        <v>#N/A</v>
      </c>
      <c r="E27" t="e">
        <f t="shared" si="3"/>
        <v>#N/A</v>
      </c>
      <c r="K27" s="1"/>
      <c r="R27" t="e">
        <f t="shared" si="4"/>
        <v>#N/A</v>
      </c>
    </row>
    <row r="28" spans="1:18">
      <c r="A28" s="1" t="s">
        <v>160</v>
      </c>
      <c r="B28" t="e">
        <f>VLOOKUP(A28,$K$2:$L$25,2,FALSE)</f>
        <v>#N/A</v>
      </c>
      <c r="C28" t="e">
        <f t="shared" si="1"/>
        <v>#N/A</v>
      </c>
      <c r="D28" t="e">
        <f t="shared" si="2"/>
        <v>#N/A</v>
      </c>
      <c r="E28" t="e">
        <f t="shared" si="3"/>
        <v>#N/A</v>
      </c>
      <c r="K28" s="1"/>
    </row>
    <row r="29" spans="1:18">
      <c r="A29" s="1" t="s">
        <v>161</v>
      </c>
      <c r="B29" t="e">
        <f t="shared" si="0"/>
        <v>#N/A</v>
      </c>
      <c r="C29" t="e">
        <f t="shared" si="1"/>
        <v>#N/A</v>
      </c>
      <c r="D29" t="e">
        <f t="shared" si="2"/>
        <v>#N/A</v>
      </c>
      <c r="E29" t="e">
        <f t="shared" si="3"/>
        <v>#N/A</v>
      </c>
      <c r="K29" s="1"/>
    </row>
    <row r="30" spans="1:18">
      <c r="A30" s="1" t="s">
        <v>162</v>
      </c>
      <c r="B30" t="e">
        <f t="shared" si="0"/>
        <v>#N/A</v>
      </c>
      <c r="C30" t="e">
        <f t="shared" si="1"/>
        <v>#N/A</v>
      </c>
      <c r="D30" t="e">
        <f t="shared" si="2"/>
        <v>#N/A</v>
      </c>
      <c r="E30" t="e">
        <f t="shared" si="3"/>
        <v>#N/A</v>
      </c>
      <c r="K30" s="1"/>
    </row>
    <row r="31" spans="1:18">
      <c r="A31" s="1" t="s">
        <v>163</v>
      </c>
      <c r="B31" t="e">
        <f t="shared" si="0"/>
        <v>#N/A</v>
      </c>
      <c r="C31" t="e">
        <f t="shared" si="1"/>
        <v>#N/A</v>
      </c>
      <c r="D31" t="e">
        <f t="shared" si="2"/>
        <v>#N/A</v>
      </c>
      <c r="E31" t="e">
        <f t="shared" si="3"/>
        <v>#N/A</v>
      </c>
      <c r="K31" s="1"/>
    </row>
    <row r="32" spans="1:18">
      <c r="A32" s="1" t="s">
        <v>164</v>
      </c>
      <c r="B32" t="e">
        <f t="shared" si="0"/>
        <v>#N/A</v>
      </c>
      <c r="C32" t="e">
        <f t="shared" si="1"/>
        <v>#N/A</v>
      </c>
      <c r="D32" t="e">
        <f t="shared" si="2"/>
        <v>#N/A</v>
      </c>
      <c r="E32" t="e">
        <f t="shared" si="3"/>
        <v>#N/A</v>
      </c>
      <c r="K32" s="1"/>
    </row>
    <row r="33" spans="1:11">
      <c r="A33" s="1" t="s">
        <v>165</v>
      </c>
      <c r="B33" t="e">
        <f t="shared" si="0"/>
        <v>#N/A</v>
      </c>
      <c r="C33" t="e">
        <f t="shared" si="1"/>
        <v>#N/A</v>
      </c>
      <c r="D33" t="e">
        <f t="shared" si="2"/>
        <v>#N/A</v>
      </c>
      <c r="E33" t="e">
        <f t="shared" si="3"/>
        <v>#N/A</v>
      </c>
      <c r="K33" s="1"/>
    </row>
    <row r="34" spans="1:11">
      <c r="A34" s="1" t="s">
        <v>166</v>
      </c>
      <c r="B34" t="e">
        <f t="shared" si="0"/>
        <v>#N/A</v>
      </c>
      <c r="C34" t="e">
        <f t="shared" si="1"/>
        <v>#N/A</v>
      </c>
      <c r="D34" t="e">
        <f t="shared" si="2"/>
        <v>#N/A</v>
      </c>
      <c r="E34" t="e">
        <f t="shared" si="3"/>
        <v>#N/A</v>
      </c>
      <c r="K34" s="1"/>
    </row>
    <row r="35" spans="1:11">
      <c r="A35" s="1" t="s">
        <v>167</v>
      </c>
      <c r="B35" t="e">
        <f t="shared" si="0"/>
        <v>#N/A</v>
      </c>
      <c r="C35" t="e">
        <f t="shared" si="1"/>
        <v>#N/A</v>
      </c>
      <c r="D35" t="e">
        <f t="shared" si="2"/>
        <v>#N/A</v>
      </c>
      <c r="E35" t="e">
        <f t="shared" si="3"/>
        <v>#N/A</v>
      </c>
      <c r="K35" s="1"/>
    </row>
    <row r="36" spans="1:11">
      <c r="A36" s="1" t="s">
        <v>168</v>
      </c>
      <c r="B36" t="e">
        <f t="shared" si="0"/>
        <v>#N/A</v>
      </c>
      <c r="C36" t="e">
        <f t="shared" si="1"/>
        <v>#N/A</v>
      </c>
      <c r="D36" t="e">
        <f t="shared" si="2"/>
        <v>#N/A</v>
      </c>
      <c r="E36" t="e">
        <f t="shared" si="3"/>
        <v>#N/A</v>
      </c>
      <c r="K36" s="1"/>
    </row>
    <row r="37" spans="1:11">
      <c r="A37" s="1" t="s">
        <v>169</v>
      </c>
      <c r="B37" t="e">
        <f t="shared" si="0"/>
        <v>#N/A</v>
      </c>
      <c r="C37" t="e">
        <f t="shared" si="1"/>
        <v>#N/A</v>
      </c>
      <c r="D37" t="e">
        <f t="shared" si="2"/>
        <v>#N/A</v>
      </c>
      <c r="E37" t="e">
        <f t="shared" si="3"/>
        <v>#N/A</v>
      </c>
      <c r="K37" s="1"/>
    </row>
    <row r="38" spans="1:11">
      <c r="A38" s="1" t="s">
        <v>170</v>
      </c>
      <c r="B38" t="e">
        <f t="shared" si="0"/>
        <v>#N/A</v>
      </c>
      <c r="C38" t="e">
        <f t="shared" si="1"/>
        <v>#N/A</v>
      </c>
      <c r="D38" t="e">
        <f t="shared" si="2"/>
        <v>#N/A</v>
      </c>
      <c r="E38" t="e">
        <f t="shared" si="3"/>
        <v>#N/A</v>
      </c>
      <c r="K38" s="1"/>
    </row>
    <row r="39" spans="1:11">
      <c r="A39" s="1" t="s">
        <v>171</v>
      </c>
      <c r="B39" t="e">
        <f t="shared" si="0"/>
        <v>#N/A</v>
      </c>
      <c r="C39" t="e">
        <f t="shared" si="1"/>
        <v>#N/A</v>
      </c>
      <c r="D39" t="e">
        <f t="shared" si="2"/>
        <v>#N/A</v>
      </c>
      <c r="E39" t="e">
        <f t="shared" si="3"/>
        <v>#N/A</v>
      </c>
      <c r="K39" s="1"/>
    </row>
    <row r="40" spans="1:11">
      <c r="A40" s="1" t="s">
        <v>172</v>
      </c>
      <c r="B40" t="e">
        <f t="shared" si="0"/>
        <v>#N/A</v>
      </c>
      <c r="C40" t="e">
        <f t="shared" si="1"/>
        <v>#N/A</v>
      </c>
      <c r="D40" t="e">
        <f t="shared" si="2"/>
        <v>#N/A</v>
      </c>
      <c r="E40" t="e">
        <f t="shared" si="3"/>
        <v>#N/A</v>
      </c>
      <c r="K40" s="1"/>
    </row>
    <row r="41" spans="1:11">
      <c r="A41" s="1" t="s">
        <v>173</v>
      </c>
      <c r="B41" t="e">
        <f t="shared" si="0"/>
        <v>#N/A</v>
      </c>
      <c r="C41" t="e">
        <f t="shared" si="1"/>
        <v>#N/A</v>
      </c>
      <c r="D41" t="e">
        <f t="shared" si="2"/>
        <v>#N/A</v>
      </c>
      <c r="E41" t="e">
        <f t="shared" si="3"/>
        <v>#N/A</v>
      </c>
      <c r="K41" s="1"/>
    </row>
    <row r="42" spans="1:11">
      <c r="A42" s="1" t="s">
        <v>174</v>
      </c>
      <c r="B42" t="e">
        <f t="shared" si="0"/>
        <v>#N/A</v>
      </c>
      <c r="C42" t="e">
        <f t="shared" si="1"/>
        <v>#N/A</v>
      </c>
      <c r="D42" t="e">
        <f t="shared" si="2"/>
        <v>#N/A</v>
      </c>
      <c r="E42" t="e">
        <f t="shared" si="3"/>
        <v>#N/A</v>
      </c>
      <c r="K42" s="1"/>
    </row>
    <row r="43" spans="1:11">
      <c r="A43" s="1" t="s">
        <v>175</v>
      </c>
      <c r="B43" t="e">
        <f t="shared" si="0"/>
        <v>#N/A</v>
      </c>
      <c r="C43" t="e">
        <f t="shared" si="1"/>
        <v>#N/A</v>
      </c>
      <c r="D43" t="e">
        <f t="shared" si="2"/>
        <v>#N/A</v>
      </c>
      <c r="E43" t="e">
        <f t="shared" si="3"/>
        <v>#N/A</v>
      </c>
      <c r="K43" s="1"/>
    </row>
    <row r="44" spans="1:11">
      <c r="A44" s="1" t="s">
        <v>176</v>
      </c>
      <c r="B44" t="e">
        <f t="shared" si="0"/>
        <v>#N/A</v>
      </c>
      <c r="C44" t="e">
        <f>INDEX($L$2:$L$25,MATCH(A44,$K$2:$K$25,0))</f>
        <v>#N/A</v>
      </c>
      <c r="D44" t="e">
        <f t="shared" si="2"/>
        <v>#N/A</v>
      </c>
      <c r="E44" t="e">
        <f t="shared" si="3"/>
        <v>#N/A</v>
      </c>
      <c r="K44" s="1"/>
    </row>
    <row r="45" spans="1:11">
      <c r="A45" s="1" t="s">
        <v>177</v>
      </c>
      <c r="B45" t="e">
        <f t="shared" si="0"/>
        <v>#N/A</v>
      </c>
      <c r="C45" t="e">
        <f t="shared" si="1"/>
        <v>#N/A</v>
      </c>
      <c r="D45" t="e">
        <f t="shared" si="2"/>
        <v>#N/A</v>
      </c>
      <c r="E45" t="e">
        <f t="shared" si="3"/>
        <v>#N/A</v>
      </c>
      <c r="K45" s="1"/>
    </row>
    <row r="46" spans="1:11">
      <c r="A46" s="1" t="s">
        <v>178</v>
      </c>
      <c r="B46" t="e">
        <f t="shared" si="0"/>
        <v>#N/A</v>
      </c>
      <c r="D46" t="e">
        <f t="shared" si="2"/>
        <v>#N/A</v>
      </c>
      <c r="E46" t="e">
        <f t="shared" si="3"/>
        <v>#N/A</v>
      </c>
      <c r="K46" s="1"/>
    </row>
    <row r="47" spans="1:11">
      <c r="A47" s="1" t="s">
        <v>24</v>
      </c>
      <c r="B47">
        <f t="shared" si="0"/>
        <v>45000</v>
      </c>
      <c r="D47">
        <f t="shared" si="2"/>
        <v>45000</v>
      </c>
      <c r="E47" t="e">
        <f t="shared" si="3"/>
        <v>#N/A</v>
      </c>
    </row>
    <row r="48" spans="1:11">
      <c r="A48" s="1" t="s">
        <v>12</v>
      </c>
      <c r="B48">
        <f t="shared" si="0"/>
        <v>40000</v>
      </c>
      <c r="D48">
        <f t="shared" si="2"/>
        <v>40000</v>
      </c>
      <c r="E48" t="e">
        <f t="shared" si="3"/>
        <v>#N/A</v>
      </c>
    </row>
    <row r="49" spans="1:5">
      <c r="A49" s="1" t="s">
        <v>23</v>
      </c>
      <c r="B49">
        <f t="shared" si="0"/>
        <v>1500</v>
      </c>
      <c r="D49">
        <f t="shared" si="2"/>
        <v>1500</v>
      </c>
      <c r="E49" t="e">
        <f t="shared" si="3"/>
        <v>#N/A</v>
      </c>
    </row>
    <row r="50" spans="1:5">
      <c r="A50" s="1" t="s">
        <v>14</v>
      </c>
      <c r="B50">
        <f t="shared" si="0"/>
        <v>2000</v>
      </c>
      <c r="D50">
        <f t="shared" si="2"/>
        <v>2000</v>
      </c>
      <c r="E50" t="e">
        <f t="shared" si="3"/>
        <v>#N/A</v>
      </c>
    </row>
    <row r="51" spans="1:5">
      <c r="A51" s="1" t="s">
        <v>9</v>
      </c>
      <c r="B51">
        <f t="shared" si="0"/>
        <v>80000</v>
      </c>
      <c r="D51">
        <f t="shared" si="2"/>
        <v>80000</v>
      </c>
      <c r="E51" t="e">
        <f t="shared" si="3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Sheet4</vt:lpstr>
      <vt:lpstr>Sheet9</vt:lpstr>
      <vt:lpstr>Sheet10</vt:lpstr>
      <vt:lpstr>Sheet1</vt:lpstr>
      <vt:lpstr>Sheet7</vt:lpstr>
      <vt:lpstr>Sheet8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Kumari</dc:creator>
  <cp:lastModifiedBy>Anjali Kumari</cp:lastModifiedBy>
  <dcterms:created xsi:type="dcterms:W3CDTF">2026-04-15T18:04:46Z</dcterms:created>
  <dcterms:modified xsi:type="dcterms:W3CDTF">2026-05-02T06:52:44Z</dcterms:modified>
</cp:coreProperties>
</file>